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燈校正" sheetId="1" state="visible" r:id="rId1"/>
    <sheet xmlns:r="http://schemas.openxmlformats.org/officeDocument/2006/relationships" name="2_反解雷射波長" sheetId="2" state="visible" r:id="rId2"/>
    <sheet xmlns:r="http://schemas.openxmlformats.org/officeDocument/2006/relationships" name="3_雙誤差拆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EF3C7"/>
      </patternFill>
    </fill>
    <fill>
      <patternFill patternType="solid">
        <fgColor rgb="00ECF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2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6" customWidth="1" min="3" max="3"/>
    <col width="18" customWidth="1" min="4" max="4"/>
    <col width="18" customWidth="1" min="5" max="5"/>
    <col width="20" customWidth="1" min="6" max="6"/>
    <col width="3" customWidth="1" min="7" max="7"/>
    <col width="30" customWidth="1" min="8" max="8"/>
    <col width="14" customWidth="1" min="9" max="9"/>
  </cols>
  <sheetData>
    <row r="1">
      <c r="A1" s="1" t="inlineStr">
        <is>
          <t>Step 1　用 Ar/Hg 燈的 NIST 譜線檢查 QEPro 的波長軸；LINEST 擬合 λ_true = A·λ_reported + B</t>
        </is>
      </c>
    </row>
    <row r="2">
      <c r="A2" t="inlineStr">
        <is>
          <t>黃底 = 你可以改的輸入（觀測峰位來自 unit1b_calibration.py §3，也可以自己在 CSV 裡用質心重算）</t>
        </is>
      </c>
    </row>
    <row r="4">
      <c r="A4" s="2" t="inlineStr">
        <is>
          <t>NIST 真值 (nm, 空氣)</t>
        </is>
      </c>
      <c r="B4" s="2" t="inlineStr">
        <is>
          <t>物種</t>
        </is>
      </c>
      <c r="C4" s="2" t="inlineStr">
        <is>
          <t>檔案觀測 (nm)</t>
        </is>
      </c>
      <c r="D4" s="2" t="inlineStr">
        <is>
          <t>偏差 = 觀測 − 真值</t>
        </is>
      </c>
      <c r="E4" s="2" t="inlineStr">
        <is>
          <t>線性修正後 (nm)</t>
        </is>
      </c>
      <c r="F4" s="2" t="inlineStr">
        <is>
          <t>殘差 = 真值 − 修正後</t>
        </is>
      </c>
    </row>
    <row r="5">
      <c r="A5" t="n">
        <v>794.8176</v>
      </c>
      <c r="B5" t="inlineStr">
        <is>
          <t>Ar I</t>
        </is>
      </c>
      <c r="C5" s="3" t="n">
        <v>793.6963</v>
      </c>
      <c r="D5">
        <f>C5-A5</f>
        <v/>
      </c>
      <c r="E5">
        <f>$I$6*C5+$I$7</f>
        <v/>
      </c>
      <c r="F5">
        <f>A5-E5</f>
        <v/>
      </c>
      <c r="H5" s="4" t="inlineStr">
        <is>
          <t>係數（LINEST）</t>
        </is>
      </c>
    </row>
    <row r="6">
      <c r="A6" t="n">
        <v>801.4786</v>
      </c>
      <c r="B6" t="inlineStr">
        <is>
          <t>Ar I</t>
        </is>
      </c>
      <c r="C6" s="3" t="n">
        <v>800.364</v>
      </c>
      <c r="D6">
        <f>C6-A6</f>
        <v/>
      </c>
      <c r="E6">
        <f>$I$6*C6+$I$7</f>
        <v/>
      </c>
      <c r="F6">
        <f>A6-E6</f>
        <v/>
      </c>
      <c r="H6" t="inlineStr">
        <is>
          <t>A（斜率）</t>
        </is>
      </c>
      <c r="I6" s="5">
        <f>INDEX(LINEST($A$5:$A$16,$C$5:$C$16),1)</f>
        <v/>
      </c>
    </row>
    <row r="7">
      <c r="A7" t="n">
        <v>810.3693</v>
      </c>
      <c r="B7" t="inlineStr">
        <is>
          <t>Ar I</t>
        </is>
      </c>
      <c r="C7" s="3" t="n">
        <v>809.7459</v>
      </c>
      <c r="D7">
        <f>C7-A7</f>
        <v/>
      </c>
      <c r="E7">
        <f>$I$6*C7+$I$7</f>
        <v/>
      </c>
      <c r="F7">
        <f>A7-E7</f>
        <v/>
      </c>
      <c r="H7" t="inlineStr">
        <is>
          <t>B（截距）</t>
        </is>
      </c>
      <c r="I7" s="5">
        <f>INDEX(LINEST($A$5:$A$16,$C$5:$C$16),2)</f>
        <v/>
      </c>
    </row>
    <row r="8">
      <c r="A8" t="n">
        <v>811.5311</v>
      </c>
      <c r="B8" t="inlineStr">
        <is>
          <t>Ar I</t>
        </is>
      </c>
      <c r="C8" s="3" t="n">
        <v>810.4185</v>
      </c>
      <c r="D8">
        <f>C8-A8</f>
        <v/>
      </c>
      <c r="E8">
        <f>$I$6*C8+$I$7</f>
        <v/>
      </c>
      <c r="F8">
        <f>A8-E8</f>
        <v/>
      </c>
    </row>
    <row r="9">
      <c r="A9" t="n">
        <v>826.4521999999999</v>
      </c>
      <c r="B9" t="inlineStr">
        <is>
          <t>Ar I</t>
        </is>
      </c>
      <c r="C9" s="3" t="n">
        <v>825.5205999999999</v>
      </c>
      <c r="D9">
        <f>C9-A9</f>
        <v/>
      </c>
      <c r="E9">
        <f>$I$6*C9+$I$7</f>
        <v/>
      </c>
      <c r="F9">
        <f>A9-E9</f>
        <v/>
      </c>
      <c r="H9" t="inlineStr">
        <is>
          <t>平均偏差 (nm)</t>
        </is>
      </c>
      <c r="I9" s="6">
        <f>AVERAGE(D5:D16)</f>
        <v/>
      </c>
    </row>
    <row r="10">
      <c r="A10" t="n">
        <v>840.821</v>
      </c>
      <c r="B10" t="inlineStr">
        <is>
          <t>Ar I</t>
        </is>
      </c>
      <c r="C10" s="3" t="n">
        <v>839.7989</v>
      </c>
      <c r="D10">
        <f>C10-A10</f>
        <v/>
      </c>
      <c r="E10">
        <f>$I$6*C10+$I$7</f>
        <v/>
      </c>
      <c r="F10">
        <f>A10-E10</f>
        <v/>
      </c>
      <c r="H10" t="inlineStr">
        <is>
          <t>偏差 SD (nm)</t>
        </is>
      </c>
      <c r="I10" s="6">
        <f>STDEV(D5:D16)</f>
        <v/>
      </c>
    </row>
    <row r="11">
      <c r="A11" t="n">
        <v>842.4648</v>
      </c>
      <c r="B11" t="inlineStr">
        <is>
          <t>Ar I</t>
        </is>
      </c>
      <c r="C11" s="3" t="n">
        <v>841.4733</v>
      </c>
      <c r="D11">
        <f>C11-A11</f>
        <v/>
      </c>
      <c r="E11">
        <f>$I$6*C11+$I$7</f>
        <v/>
      </c>
      <c r="F11">
        <f>A11-E11</f>
        <v/>
      </c>
      <c r="H11" t="inlineStr">
        <is>
          <t>修正後殘差 rms (nm)</t>
        </is>
      </c>
      <c r="I11" s="6">
        <f>SQRT(SUMSQ(F5:F16)/COUNT(F5:F16))</f>
        <v/>
      </c>
    </row>
    <row r="12">
      <c r="A12" t="n">
        <v>852.1442</v>
      </c>
      <c r="B12" t="inlineStr">
        <is>
          <t>Ar I</t>
        </is>
      </c>
      <c r="C12" s="3" t="n">
        <v>851.2917</v>
      </c>
      <c r="D12">
        <f>C12-A12</f>
        <v/>
      </c>
      <c r="E12">
        <f>$I$6*C12+$I$7</f>
        <v/>
      </c>
      <c r="F12">
        <f>A12-E12</f>
        <v/>
      </c>
    </row>
    <row r="13">
      <c r="A13" t="n">
        <v>866.7944</v>
      </c>
      <c r="B13" t="inlineStr">
        <is>
          <t>Ar I</t>
        </is>
      </c>
      <c r="C13" s="3" t="n">
        <v>866.1070999999999</v>
      </c>
      <c r="D13">
        <f>C13-A13</f>
        <v/>
      </c>
      <c r="E13">
        <f>$I$6*C13+$I$7</f>
        <v/>
      </c>
      <c r="F13">
        <f>A13-E13</f>
        <v/>
      </c>
      <c r="H13" t="inlineStr">
        <is>
          <t>1 nm 偏差 ≈ 幾個 cm⁻¹？（在 850 nm）</t>
        </is>
      </c>
      <c r="I13" s="6">
        <f>1E7*ABS(I9)/850^2</f>
        <v/>
      </c>
    </row>
    <row r="14">
      <c r="A14" t="n">
        <v>912.2967</v>
      </c>
      <c r="B14" t="inlineStr">
        <is>
          <t>Ar I</t>
        </is>
      </c>
      <c r="C14" s="3" t="n">
        <v>911.2511</v>
      </c>
      <c r="D14">
        <f>C14-A14</f>
        <v/>
      </c>
      <c r="E14">
        <f>$I$6*C14+$I$7</f>
        <v/>
      </c>
      <c r="F14">
        <f>A14-E14</f>
        <v/>
      </c>
    </row>
    <row r="15">
      <c r="A15" t="n">
        <v>922.4499</v>
      </c>
      <c r="B15" t="inlineStr">
        <is>
          <t>Ar I</t>
        </is>
      </c>
      <c r="C15" s="3" t="n">
        <v>921.4002</v>
      </c>
      <c r="D15">
        <f>C15-A15</f>
        <v/>
      </c>
      <c r="E15">
        <f>$I$6*C15+$I$7</f>
        <v/>
      </c>
      <c r="F15">
        <f>A15-E15</f>
        <v/>
      </c>
    </row>
    <row r="16">
      <c r="A16" t="n">
        <v>1013.975</v>
      </c>
      <c r="B16" t="inlineStr">
        <is>
          <t>Hg I</t>
        </is>
      </c>
      <c r="C16" s="3" t="n">
        <v>1013.2073</v>
      </c>
      <c r="D16">
        <f>C16-A16</f>
        <v/>
      </c>
      <c r="E16">
        <f>$I$6*C16+$I$7</f>
        <v/>
      </c>
      <c r="F16">
        <f>A16-E16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0" customWidth="1" min="3" max="3"/>
    <col width="28" customWidth="1" min="4" max="4"/>
    <col width="30" customWidth="1" min="5" max="5"/>
    <col width="20" customWidth="1" min="6" max="6"/>
    <col width="22" customWidth="1" min="7" max="7"/>
  </cols>
  <sheetData>
    <row r="1">
      <c r="A1" s="1" t="inlineStr">
        <is>
          <t>Step 2　把苯甲酸的報告位移 → 還原波長 → 套燈校正 → 用『試驗雷射波長』換算回位移，看哪個 λ_L 讓誤差最小</t>
        </is>
      </c>
    </row>
    <row r="3">
      <c r="A3" t="inlineStr">
        <is>
          <t>OceanView 用的標稱雷射波長 (nm)</t>
        </is>
      </c>
      <c r="D3" s="3" t="n">
        <v>785</v>
      </c>
    </row>
    <row r="4">
      <c r="A4" t="inlineStr">
        <is>
          <t>試驗雷射波長 λ_L (nm) ← 改這格看 rms 怎麼變</t>
        </is>
      </c>
      <c r="D4" s="7" t="n">
        <v>784.559</v>
      </c>
    </row>
    <row r="5">
      <c r="A5" t="inlineStr">
        <is>
          <t>燈校正係數 A、B（來自工作表 1）</t>
        </is>
      </c>
      <c r="D5">
        <f>'1_燈校正'!I6</f>
        <v/>
      </c>
      <c r="E5">
        <f>'1_燈校正'!I7</f>
        <v/>
      </c>
    </row>
    <row r="7">
      <c r="A7" s="2" t="inlineStr">
        <is>
          <t>報告位移 (cm⁻¹)</t>
        </is>
      </c>
      <c r="B7" s="2" t="inlineStr">
        <is>
          <t>文獻值 (cm⁻¹)</t>
        </is>
      </c>
      <c r="C7" s="2" t="inlineStr">
        <is>
          <t>還原波長 λ_rep = 1/(1/785 − ν̃·1e-7)</t>
        </is>
      </c>
      <c r="D7" s="2" t="inlineStr">
        <is>
          <t>校正波長 λ_true = A·λ_rep + B</t>
        </is>
      </c>
      <c r="E7" s="2" t="inlineStr">
        <is>
          <t>修正位移 = 1e7·(1/λ_L − 1/λ_true)</t>
        </is>
      </c>
      <c r="F7" s="2" t="inlineStr">
        <is>
          <t>原始誤差 = 報告 − 文獻</t>
        </is>
      </c>
      <c r="G7" s="2" t="inlineStr">
        <is>
          <t>修正後誤差 = 修正 − 文獻</t>
        </is>
      </c>
    </row>
    <row r="8">
      <c r="A8" s="3" t="n">
        <v>595.83</v>
      </c>
      <c r="B8" t="n">
        <v>619</v>
      </c>
      <c r="C8" s="8">
        <f>1/(1/$D$3-A8*1E-7)</f>
        <v/>
      </c>
      <c r="D8" s="8">
        <f>$D$5*C8+$E$5</f>
        <v/>
      </c>
      <c r="E8" s="8">
        <f>1E7*(1/$D$4-1/D8)</f>
        <v/>
      </c>
      <c r="F8" s="8">
        <f>A8-B8</f>
        <v/>
      </c>
      <c r="G8" s="8">
        <f>E8-B8</f>
        <v/>
      </c>
    </row>
    <row r="9">
      <c r="A9" s="3" t="n">
        <v>774.14</v>
      </c>
      <c r="B9" t="n">
        <v>800</v>
      </c>
      <c r="C9" s="8">
        <f>1/(1/$D$3-A9*1E-7)</f>
        <v/>
      </c>
      <c r="D9" s="8">
        <f>$D$5*C9+$E$5</f>
        <v/>
      </c>
      <c r="E9" s="8">
        <f>1E7*(1/$D$4-1/D9)</f>
        <v/>
      </c>
      <c r="F9" s="8">
        <f>A9-B9</f>
        <v/>
      </c>
      <c r="G9" s="8">
        <f>E9-B9</f>
        <v/>
      </c>
    </row>
    <row r="10">
      <c r="A10" s="3" t="n">
        <v>981.03</v>
      </c>
      <c r="B10" t="n">
        <v>1001</v>
      </c>
      <c r="C10" s="8">
        <f>1/(1/$D$3-A10*1E-7)</f>
        <v/>
      </c>
      <c r="D10" s="8">
        <f>$D$5*C10+$E$5</f>
        <v/>
      </c>
      <c r="E10" s="8">
        <f>1E7*(1/$D$4-1/D10)</f>
        <v/>
      </c>
      <c r="F10" s="8">
        <f>A10-B10</f>
        <v/>
      </c>
      <c r="G10" s="8">
        <f>E10-B10</f>
        <v/>
      </c>
    </row>
    <row r="11">
      <c r="A11" s="3" t="n">
        <v>1007.28</v>
      </c>
      <c r="B11" t="n">
        <v>1026</v>
      </c>
      <c r="C11" s="8">
        <f>1/(1/$D$3-A11*1E-7)</f>
        <v/>
      </c>
      <c r="D11" s="8">
        <f>$D$5*C11+$E$5</f>
        <v/>
      </c>
      <c r="E11" s="8">
        <f>1E7*(1/$D$4-1/D11)</f>
        <v/>
      </c>
      <c r="F11" s="8">
        <f>A11-B11</f>
        <v/>
      </c>
      <c r="G11" s="8">
        <f>E11-B11</f>
        <v/>
      </c>
    </row>
    <row r="12">
      <c r="A12" s="3" t="n">
        <v>1112.1</v>
      </c>
      <c r="B12" t="n">
        <v>1132</v>
      </c>
      <c r="C12" s="8">
        <f>1/(1/$D$3-A12*1E-7)</f>
        <v/>
      </c>
      <c r="D12" s="8">
        <f>$D$5*C12+$E$5</f>
        <v/>
      </c>
      <c r="E12" s="8">
        <f>1E7*(1/$D$4-1/D12)</f>
        <v/>
      </c>
      <c r="F12" s="8">
        <f>A12-B12</f>
        <v/>
      </c>
      <c r="G12" s="8">
        <f>E12-B12</f>
        <v/>
      </c>
    </row>
    <row r="13">
      <c r="A13" s="3" t="n">
        <v>1159.18</v>
      </c>
      <c r="B13" t="n">
        <v>1178</v>
      </c>
      <c r="C13" s="8">
        <f>1/(1/$D$3-A13*1E-7)</f>
        <v/>
      </c>
      <c r="D13" s="8">
        <f>$D$5*C13+$E$5</f>
        <v/>
      </c>
      <c r="E13" s="8">
        <f>1E7*(1/$D$4-1/D13)</f>
        <v/>
      </c>
      <c r="F13" s="8">
        <f>A13-B13</f>
        <v/>
      </c>
      <c r="G13" s="8">
        <f>E13-B13</f>
        <v/>
      </c>
    </row>
    <row r="14">
      <c r="A14" s="3" t="n">
        <v>1269.58</v>
      </c>
      <c r="B14" t="n">
        <v>1290</v>
      </c>
      <c r="C14" s="8">
        <f>1/(1/$D$3-A14*1E-7)</f>
        <v/>
      </c>
      <c r="D14" s="8">
        <f>$D$5*C14+$E$5</f>
        <v/>
      </c>
      <c r="E14" s="8">
        <f>1E7*(1/$D$4-1/D14)</f>
        <v/>
      </c>
      <c r="F14" s="8">
        <f>A14-B14</f>
        <v/>
      </c>
      <c r="G14" s="8">
        <f>E14-B14</f>
        <v/>
      </c>
    </row>
    <row r="15">
      <c r="A15" s="3" t="n">
        <v>1585.36</v>
      </c>
      <c r="B15" t="n">
        <v>1601</v>
      </c>
      <c r="C15" s="8">
        <f>1/(1/$D$3-A15*1E-7)</f>
        <v/>
      </c>
      <c r="D15" s="8">
        <f>$D$5*C15+$E$5</f>
        <v/>
      </c>
      <c r="E15" s="8">
        <f>1E7*(1/$D$4-1/D15)</f>
        <v/>
      </c>
      <c r="F15" s="8">
        <f>A15-B15</f>
        <v/>
      </c>
      <c r="G15" s="8">
        <f>E15-B15</f>
        <v/>
      </c>
    </row>
    <row r="16">
      <c r="A16" s="3" t="n">
        <v>1615.47</v>
      </c>
      <c r="B16" t="n">
        <v>1631</v>
      </c>
      <c r="C16" s="8">
        <f>1/(1/$D$3-A16*1E-7)</f>
        <v/>
      </c>
      <c r="D16" s="8">
        <f>$D$5*C16+$E$5</f>
        <v/>
      </c>
      <c r="E16" s="8">
        <f>1E7*(1/$D$4-1/D16)</f>
        <v/>
      </c>
      <c r="F16" s="8">
        <f>A16-B16</f>
        <v/>
      </c>
      <c r="G16" s="8">
        <f>E16-B16</f>
        <v/>
      </c>
    </row>
    <row r="17">
      <c r="A17" s="3" t="n">
        <v>422.58</v>
      </c>
      <c r="B17" t="n">
        <v>445</v>
      </c>
      <c r="C17" s="8">
        <f>1/(1/$D$3-A17*1E-7)</f>
        <v/>
      </c>
      <c r="D17" s="8">
        <f>$D$5*C17+$E$5</f>
        <v/>
      </c>
      <c r="E17" s="8">
        <f>1E7*(1/$D$4-1/D17)</f>
        <v/>
      </c>
      <c r="F17" s="8">
        <f>A17-B17</f>
        <v/>
      </c>
      <c r="G17" s="8">
        <f>E17-B17</f>
        <v/>
      </c>
    </row>
    <row r="18">
      <c r="A18" s="3" t="n">
        <v>461.31</v>
      </c>
      <c r="B18" t="n">
        <v>483</v>
      </c>
      <c r="C18" s="8">
        <f>1/(1/$D$3-A18*1E-7)</f>
        <v/>
      </c>
      <c r="D18" s="8">
        <f>$D$5*C18+$E$5</f>
        <v/>
      </c>
      <c r="E18" s="8">
        <f>1E7*(1/$D$4-1/D18)</f>
        <v/>
      </c>
      <c r="F18" s="8">
        <f>A18-B18</f>
        <v/>
      </c>
      <c r="G18" s="8">
        <f>E18-B18</f>
        <v/>
      </c>
    </row>
    <row r="19">
      <c r="A19" s="3" t="n">
        <v>534.25</v>
      </c>
      <c r="B19" t="n">
        <v>555</v>
      </c>
      <c r="C19" s="8">
        <f>1/(1/$D$3-A19*1E-7)</f>
        <v/>
      </c>
      <c r="D19" s="8">
        <f>$D$5*C19+$E$5</f>
        <v/>
      </c>
      <c r="E19" s="8">
        <f>1E7*(1/$D$4-1/D19)</f>
        <v/>
      </c>
      <c r="F19" s="8">
        <f>A19-B19</f>
        <v/>
      </c>
      <c r="G19" s="8">
        <f>E19-B19</f>
        <v/>
      </c>
    </row>
    <row r="20">
      <c r="A20" s="3" t="n">
        <v>622.76</v>
      </c>
      <c r="B20" t="n">
        <v>645</v>
      </c>
      <c r="C20" s="8">
        <f>1/(1/$D$3-A20*1E-7)</f>
        <v/>
      </c>
      <c r="D20" s="8">
        <f>$D$5*C20+$E$5</f>
        <v/>
      </c>
      <c r="E20" s="8">
        <f>1E7*(1/$D$4-1/D20)</f>
        <v/>
      </c>
      <c r="F20" s="8">
        <f>A20-B20</f>
        <v/>
      </c>
      <c r="G20" s="8">
        <f>E20-B20</f>
        <v/>
      </c>
    </row>
    <row r="21">
      <c r="A21" s="3" t="n">
        <v>719.87</v>
      </c>
      <c r="B21" t="n">
        <v>745</v>
      </c>
      <c r="C21" s="8">
        <f>1/(1/$D$3-A21*1E-7)</f>
        <v/>
      </c>
      <c r="D21" s="8">
        <f>$D$5*C21+$E$5</f>
        <v/>
      </c>
      <c r="E21" s="8">
        <f>1E7*(1/$D$4-1/D21)</f>
        <v/>
      </c>
      <c r="F21" s="8">
        <f>A21-B21</f>
        <v/>
      </c>
      <c r="G21" s="8">
        <f>E21-B21</f>
        <v/>
      </c>
    </row>
    <row r="22">
      <c r="A22" s="3" t="n">
        <v>907.28</v>
      </c>
      <c r="B22" t="n">
        <v>926</v>
      </c>
      <c r="C22" s="8">
        <f>1/(1/$D$3-A22*1E-7)</f>
        <v/>
      </c>
      <c r="D22" s="8">
        <f>$D$5*C22+$E$5</f>
        <v/>
      </c>
      <c r="E22" s="8">
        <f>1E7*(1/$D$4-1/D22)</f>
        <v/>
      </c>
      <c r="F22" s="8">
        <f>A22-B22</f>
        <v/>
      </c>
      <c r="G22" s="8">
        <f>E22-B22</f>
        <v/>
      </c>
    </row>
    <row r="23">
      <c r="A23" s="3" t="n">
        <v>1002.15</v>
      </c>
      <c r="B23" t="n">
        <v>1027</v>
      </c>
      <c r="C23" s="8">
        <f>1/(1/$D$3-A23*1E-7)</f>
        <v/>
      </c>
      <c r="D23" s="8">
        <f>$D$5*C23+$E$5</f>
        <v/>
      </c>
      <c r="E23" s="8">
        <f>1E7*(1/$D$4-1/D23)</f>
        <v/>
      </c>
      <c r="F23" s="8">
        <f>A23-B23</f>
        <v/>
      </c>
      <c r="G23" s="8">
        <f>E23-B23</f>
        <v/>
      </c>
    </row>
    <row r="24">
      <c r="A24" s="3" t="n">
        <v>1051.69</v>
      </c>
      <c r="B24" t="n">
        <v>1071</v>
      </c>
      <c r="C24" s="8">
        <f>1/(1/$D$3-A24*1E-7)</f>
        <v/>
      </c>
      <c r="D24" s="8">
        <f>$D$5*C24+$E$5</f>
        <v/>
      </c>
      <c r="E24" s="8">
        <f>1E7*(1/$D$4-1/D24)</f>
        <v/>
      </c>
      <c r="F24" s="8">
        <f>A24-B24</f>
        <v/>
      </c>
      <c r="G24" s="8">
        <f>E24-B24</f>
        <v/>
      </c>
    </row>
    <row r="25">
      <c r="A25" s="3" t="n">
        <v>1223.21</v>
      </c>
      <c r="B25" t="n">
        <v>1240</v>
      </c>
      <c r="C25" s="8">
        <f>1/(1/$D$3-A25*1E-7)</f>
        <v/>
      </c>
      <c r="D25" s="8">
        <f>$D$5*C25+$E$5</f>
        <v/>
      </c>
      <c r="E25" s="8">
        <f>1E7*(1/$D$4-1/D25)</f>
        <v/>
      </c>
      <c r="F25" s="8">
        <f>A25-B25</f>
        <v/>
      </c>
      <c r="G25" s="8">
        <f>E25-B25</f>
        <v/>
      </c>
    </row>
    <row r="26">
      <c r="A26" s="3" t="n">
        <v>1265.84</v>
      </c>
      <c r="B26" t="n">
        <v>1287</v>
      </c>
      <c r="C26" s="8">
        <f>1/(1/$D$3-A26*1E-7)</f>
        <v/>
      </c>
      <c r="D26" s="8">
        <f>$D$5*C26+$E$5</f>
        <v/>
      </c>
      <c r="E26" s="8">
        <f>1E7*(1/$D$4-1/D26)</f>
        <v/>
      </c>
      <c r="F26" s="8">
        <f>A26-B26</f>
        <v/>
      </c>
      <c r="G26" s="8">
        <f>E26-B26</f>
        <v/>
      </c>
    </row>
    <row r="27">
      <c r="A27" s="3" t="n">
        <v>1309.01</v>
      </c>
      <c r="B27" t="n">
        <v>1328</v>
      </c>
      <c r="C27" s="8">
        <f>1/(1/$D$3-A27*1E-7)</f>
        <v/>
      </c>
      <c r="D27" s="8">
        <f>$D$5*C27+$E$5</f>
        <v/>
      </c>
      <c r="E27" s="8">
        <f>1E7*(1/$D$4-1/D27)</f>
        <v/>
      </c>
      <c r="F27" s="8">
        <f>A27-B27</f>
        <v/>
      </c>
      <c r="G27" s="8">
        <f>E27-B27</f>
        <v/>
      </c>
    </row>
    <row r="28">
      <c r="A28" s="3" t="n">
        <v>1341.27</v>
      </c>
      <c r="B28" t="n">
        <v>1360</v>
      </c>
      <c r="C28" s="8">
        <f>1/(1/$D$3-A28*1E-7)</f>
        <v/>
      </c>
      <c r="D28" s="8">
        <f>$D$5*C28+$E$5</f>
        <v/>
      </c>
      <c r="E28" s="8">
        <f>1E7*(1/$D$4-1/D28)</f>
        <v/>
      </c>
      <c r="F28" s="8">
        <f>A28-B28</f>
        <v/>
      </c>
      <c r="G28" s="8">
        <f>E28-B28</f>
        <v/>
      </c>
    </row>
    <row r="29">
      <c r="A29" s="3" t="n">
        <v>1580.73</v>
      </c>
      <c r="B29" t="n">
        <v>1600</v>
      </c>
      <c r="C29" s="8">
        <f>1/(1/$D$3-A29*1E-7)</f>
        <v/>
      </c>
      <c r="D29" s="8">
        <f>$D$5*C29+$E$5</f>
        <v/>
      </c>
      <c r="E29" s="8">
        <f>1E7*(1/$D$4-1/D29)</f>
        <v/>
      </c>
      <c r="F29" s="8">
        <f>A29-B29</f>
        <v/>
      </c>
      <c r="G29" s="8">
        <f>E29-B29</f>
        <v/>
      </c>
    </row>
    <row r="30">
      <c r="A30" s="3" t="n">
        <v>1638.63</v>
      </c>
      <c r="B30" t="n">
        <v>1655</v>
      </c>
      <c r="C30" s="8">
        <f>1/(1/$D$3-A30*1E-7)</f>
        <v/>
      </c>
      <c r="D30" s="8">
        <f>$D$5*C30+$E$5</f>
        <v/>
      </c>
      <c r="E30" s="8">
        <f>1E7*(1/$D$4-1/D30)</f>
        <v/>
      </c>
      <c r="F30" s="8">
        <f>A30-B30</f>
        <v/>
      </c>
      <c r="G30" s="8">
        <f>E30-B30</f>
        <v/>
      </c>
    </row>
    <row r="31">
      <c r="A31" s="3" t="n">
        <v>1679.79</v>
      </c>
      <c r="B31" t="n">
        <v>1700</v>
      </c>
      <c r="C31" s="8">
        <f>1/(1/$D$3-A31*1E-7)</f>
        <v/>
      </c>
      <c r="D31" s="8">
        <f>$D$5*C31+$E$5</f>
        <v/>
      </c>
      <c r="E31" s="8">
        <f>1E7*(1/$D$4-1/D31)</f>
        <v/>
      </c>
      <c r="F31" s="8">
        <f>A31-B31</f>
        <v/>
      </c>
      <c r="G31" s="8">
        <f>E31-B31</f>
        <v/>
      </c>
    </row>
    <row r="32">
      <c r="A32" s="3" t="n">
        <v>2944.11</v>
      </c>
      <c r="B32" t="n">
        <v>2953</v>
      </c>
      <c r="C32" s="8">
        <f>1/(1/$D$3-A32*1E-7)</f>
        <v/>
      </c>
      <c r="D32" s="8">
        <f>$D$5*C32+$E$5</f>
        <v/>
      </c>
      <c r="E32" s="8">
        <f>1E7*(1/$D$4-1/D32)</f>
        <v/>
      </c>
      <c r="F32" s="8">
        <f>A32-B32</f>
        <v/>
      </c>
      <c r="G32" s="8">
        <f>E32-B32</f>
        <v/>
      </c>
    </row>
    <row r="34">
      <c r="A34" s="4" t="inlineStr">
        <is>
          <t>原始誤差平均 / rms (cm⁻¹)</t>
        </is>
      </c>
      <c r="F34" s="9">
        <f>AVERAGE(F8:F32)</f>
        <v/>
      </c>
      <c r="G34" s="9">
        <f>SQRT(SUMSQ(F8:F32)/COUNT(F8:F32))</f>
        <v/>
      </c>
    </row>
    <row r="35">
      <c r="A35" s="4" t="inlineStr">
        <is>
          <t>修正後誤差平均 / rms (cm⁻¹)</t>
        </is>
      </c>
      <c r="F35" s="9">
        <f>AVERAGE(G8:G32)</f>
        <v/>
      </c>
      <c r="G35" s="9">
        <f>SQRT(SUMSQ(G8:G32)/COUNT(G8:G32))</f>
        <v/>
      </c>
    </row>
    <row r="38">
      <c r="A38" s="4" t="inlineStr">
        <is>
          <t>網格搜尋：不用 Solver，也能找到最好的 λ_L —— 看哪一列 rms 最小</t>
        </is>
      </c>
    </row>
    <row r="39">
      <c r="A39" s="2" t="inlineStr">
        <is>
          <t>試驗 λ_L (nm)</t>
        </is>
      </c>
      <c r="B39" s="2" t="inlineStr">
        <is>
          <t>修正後 rms (cm⁻¹)</t>
        </is>
      </c>
    </row>
    <row r="40">
      <c r="A40" s="8" t="n">
        <v>784.2</v>
      </c>
      <c r="B40" s="8">
        <f>SQRT(SUMPRODUCT((1E7*(1/A40-1/$D$8:$D$32)-$B$8:$B$32)^2)/COUNT($B$8:$B$32))</f>
        <v/>
      </c>
    </row>
    <row r="41">
      <c r="A41" s="8" t="n">
        <v>784.25</v>
      </c>
      <c r="B41" s="8">
        <f>SQRT(SUMPRODUCT((1E7*(1/A41-1/$D$8:$D$32)-$B$8:$B$32)^2)/COUNT($B$8:$B$32))</f>
        <v/>
      </c>
    </row>
    <row r="42">
      <c r="A42" s="8" t="n">
        <v>784.3</v>
      </c>
      <c r="B42" s="8">
        <f>SQRT(SUMPRODUCT((1E7*(1/A42-1/$D$8:$D$32)-$B$8:$B$32)^2)/COUNT($B$8:$B$32))</f>
        <v/>
      </c>
    </row>
    <row r="43">
      <c r="A43" s="8" t="n">
        <v>784.35</v>
      </c>
      <c r="B43" s="8">
        <f>SQRT(SUMPRODUCT((1E7*(1/A43-1/$D$8:$D$32)-$B$8:$B$32)^2)/COUNT($B$8:$B$32))</f>
        <v/>
      </c>
    </row>
    <row r="44">
      <c r="A44" s="8" t="n">
        <v>784.4</v>
      </c>
      <c r="B44" s="8">
        <f>SQRT(SUMPRODUCT((1E7*(1/A44-1/$D$8:$D$32)-$B$8:$B$32)^2)/COUNT($B$8:$B$32))</f>
        <v/>
      </c>
    </row>
    <row r="45">
      <c r="A45" s="8" t="n">
        <v>784.45</v>
      </c>
      <c r="B45" s="8">
        <f>SQRT(SUMPRODUCT((1E7*(1/A45-1/$D$8:$D$32)-$B$8:$B$32)^2)/COUNT($B$8:$B$32))</f>
        <v/>
      </c>
    </row>
    <row r="46">
      <c r="A46" s="8" t="n">
        <v>784.5</v>
      </c>
      <c r="B46" s="8">
        <f>SQRT(SUMPRODUCT((1E7*(1/A46-1/$D$8:$D$32)-$B$8:$B$32)^2)/COUNT($B$8:$B$32))</f>
        <v/>
      </c>
    </row>
    <row r="47">
      <c r="A47" s="8" t="n">
        <v>784.55</v>
      </c>
      <c r="B47" s="8">
        <f>SQRT(SUMPRODUCT((1E7*(1/A47-1/$D$8:$D$32)-$B$8:$B$32)^2)/COUNT($B$8:$B$32))</f>
        <v/>
      </c>
    </row>
    <row r="48">
      <c r="A48" s="8" t="n">
        <v>784.6</v>
      </c>
      <c r="B48" s="8">
        <f>SQRT(SUMPRODUCT((1E7*(1/A48-1/$D$8:$D$32)-$B$8:$B$32)^2)/COUNT($B$8:$B$32))</f>
        <v/>
      </c>
    </row>
    <row r="49">
      <c r="A49" s="8" t="n">
        <v>784.65</v>
      </c>
      <c r="B49" s="8">
        <f>SQRT(SUMPRODUCT((1E7*(1/A49-1/$D$8:$D$32)-$B$8:$B$32)^2)/COUNT($B$8:$B$32))</f>
        <v/>
      </c>
    </row>
    <row r="50">
      <c r="A50" s="8" t="n">
        <v>784.7</v>
      </c>
      <c r="B50" s="8">
        <f>SQRT(SUMPRODUCT((1E7*(1/A50-1/$D$8:$D$32)-$B$8:$B$32)^2)/COUNT($B$8:$B$32))</f>
        <v/>
      </c>
    </row>
    <row r="51">
      <c r="A51" s="8" t="n">
        <v>784.75</v>
      </c>
      <c r="B51" s="8">
        <f>SQRT(SUMPRODUCT((1E7*(1/A51-1/$D$8:$D$32)-$B$8:$B$32)^2)/COUNT($B$8:$B$32))</f>
        <v/>
      </c>
    </row>
    <row r="52">
      <c r="A52" s="8" t="n">
        <v>784.8</v>
      </c>
      <c r="B52" s="8">
        <f>SQRT(SUMPRODUCT((1E7*(1/A52-1/$D$8:$D$32)-$B$8:$B$32)^2)/COUNT($B$8:$B$32))</f>
        <v/>
      </c>
    </row>
    <row r="53">
      <c r="A53" s="8" t="n">
        <v>784.85</v>
      </c>
      <c r="B53" s="8">
        <f>SQRT(SUMPRODUCT((1E7*(1/A53-1/$D$8:$D$32)-$B$8:$B$32)^2)/COUNT($B$8:$B$32))</f>
        <v/>
      </c>
    </row>
    <row r="54">
      <c r="A54" s="8" t="n">
        <v>784.9</v>
      </c>
      <c r="B54" s="8">
        <f>SQRT(SUMPRODUCT((1E7*(1/A54-1/$D$8:$D$32)-$B$8:$B$32)^2)/COUNT($B$8:$B$32))</f>
        <v/>
      </c>
    </row>
    <row r="55">
      <c r="A55" s="8" t="n">
        <v>784.95</v>
      </c>
      <c r="B55" s="8">
        <f>SQRT(SUMPRODUCT((1E7*(1/A55-1/$D$8:$D$32)-$B$8:$B$32)^2)/COUNT($B$8:$B$32))</f>
        <v/>
      </c>
    </row>
    <row r="56">
      <c r="A56" s="8" t="n">
        <v>785</v>
      </c>
      <c r="B56" s="8">
        <f>SQRT(SUMPRODUCT((1E7*(1/A56-1/$D$8:$D$32)-$B$8:$B$32)^2)/COUNT($B$8:$B$32))</f>
        <v/>
      </c>
    </row>
    <row r="57">
      <c r="A57" s="4" t="inlineStr">
        <is>
          <t>最小 rms 對應的 λ_L</t>
        </is>
      </c>
      <c r="B57" s="9">
        <f>INDEX(A40:A56,MATCH(MIN(B40:B56),B40:B56,0))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8" customWidth="1" min="3" max="3"/>
    <col width="26" customWidth="1" min="4" max="4"/>
    <col width="14" customWidth="1" min="5" max="5"/>
    <col width="3" customWidth="1" min="6" max="6"/>
    <col width="60" customWidth="1" min="7" max="7"/>
  </cols>
  <sheetData>
    <row r="1">
      <c r="A1" s="1" t="inlineStr">
        <is>
          <t>Step 3　一個偏差、兩個來源：改 D3（波長軸偏移）與 D4（真實雷射波長），看三條誤差曲線怎麼變</t>
        </is>
      </c>
    </row>
    <row r="3">
      <c r="A3" t="inlineStr">
        <is>
          <t>波長軸偏移 Δλ (nm)（檔案 − 真值；燈量到約 −0.94）</t>
        </is>
      </c>
      <c r="D3" s="3" t="n">
        <v>-0.9429999999999999</v>
      </c>
    </row>
    <row r="4">
      <c r="A4" t="inlineStr">
        <is>
          <t>真實雷射波長 (nm)</t>
        </is>
      </c>
      <c r="D4" s="3" t="n">
        <v>784.559</v>
      </c>
    </row>
    <row r="5">
      <c r="A5" t="inlineStr">
        <is>
          <t>軟體設定的雷射波長 (nm)</t>
        </is>
      </c>
      <c r="D5" s="3" t="n">
        <v>785</v>
      </c>
    </row>
    <row r="7">
      <c r="A7" s="2" t="inlineStr">
        <is>
          <t>真實位移 ν̃ (cm⁻¹)</t>
        </is>
      </c>
      <c r="B7" s="2" t="inlineStr">
        <is>
          <t>真實散射波長 λ = 1/(1/λ_L − ν̃·1e-7)</t>
        </is>
      </c>
      <c r="C7" s="2" t="inlineStr">
        <is>
          <t>只有波長軸偏移：報告 − 真值</t>
        </is>
      </c>
      <c r="D7" s="2" t="inlineStr">
        <is>
          <t>只有雷射設錯：報告 − 真值</t>
        </is>
      </c>
      <c r="E7" s="2" t="inlineStr">
        <is>
          <t>兩者相加</t>
        </is>
      </c>
    </row>
    <row r="8">
      <c r="A8" t="n">
        <v>200</v>
      </c>
      <c r="B8" s="8">
        <f>1/(1/$D$4-A8*1E-7)</f>
        <v/>
      </c>
      <c r="C8" s="8">
        <f>1E7*(1/$D$4-1/(B8+$D$3))-A8</f>
        <v/>
      </c>
      <c r="D8" s="8">
        <f>1E7*(1/$D$5-1/B8)-A8</f>
        <v/>
      </c>
      <c r="E8" s="8">
        <f>1E7*(1/$D$5-1/(B8+$D$3))-A8</f>
        <v/>
      </c>
      <c r="G8" s="4" t="inlineStr">
        <is>
          <t>讀圖重點：</t>
        </is>
      </c>
    </row>
    <row r="9">
      <c r="A9" t="n">
        <v>300</v>
      </c>
      <c r="B9" s="8">
        <f>1/(1/$D$4-A9*1E-7)</f>
        <v/>
      </c>
      <c r="C9" s="8">
        <f>1E7*(1/$D$4-1/(B9+$D$3))-A9</f>
        <v/>
      </c>
      <c r="D9" s="8">
        <f>1E7*(1/$D$5-1/B9)-A9</f>
        <v/>
      </c>
      <c r="E9" s="8">
        <f>1E7*(1/$D$5-1/(B9+$D$3))-A9</f>
        <v/>
      </c>
      <c r="G9" t="inlineStr">
        <is>
          <t>• 波長軸偏移的貢獻隨 ν̃ 增加而變小（因為 dν̃ = 1e7·dλ/λ²，λ 越長越不敏感）</t>
        </is>
      </c>
    </row>
    <row r="10">
      <c r="A10" t="n">
        <v>400</v>
      </c>
      <c r="B10" s="8">
        <f>1/(1/$D$4-A10*1E-7)</f>
        <v/>
      </c>
      <c r="C10" s="8">
        <f>1E7*(1/$D$4-1/(B10+$D$3))-A10</f>
        <v/>
      </c>
      <c r="D10" s="8">
        <f>1E7*(1/$D$5-1/B10)-A10</f>
        <v/>
      </c>
      <c r="E10" s="8">
        <f>1E7*(1/$D$5-1/(B10+$D$3))-A10</f>
        <v/>
      </c>
      <c r="G10" t="inlineStr">
        <is>
          <t>• 雷射波長設錯的貢獻幾乎是常數</t>
        </is>
      </c>
    </row>
    <row r="11">
      <c r="A11" t="n">
        <v>500</v>
      </c>
      <c r="B11" s="8">
        <f>1/(1/$D$4-A11*1E-7)</f>
        <v/>
      </c>
      <c r="C11" s="8">
        <f>1E7*(1/$D$4-1/(B11+$D$3))-A11</f>
        <v/>
      </c>
      <c r="D11" s="8">
        <f>1E7*(1/$D$5-1/B11)-A11</f>
        <v/>
      </c>
      <c r="E11" s="8">
        <f>1E7*(1/$D$5-1/(B11+$D$3))-A11</f>
        <v/>
      </c>
      <c r="G11" t="inlineStr">
        <is>
          <t>• 所以看實測誤差『隨波數的斜率』就能分辨主因是哪一個</t>
        </is>
      </c>
    </row>
    <row r="12">
      <c r="A12" t="n">
        <v>600</v>
      </c>
      <c r="B12" s="8">
        <f>1/(1/$D$4-A12*1E-7)</f>
        <v/>
      </c>
      <c r="C12" s="8">
        <f>1E7*(1/$D$4-1/(B12+$D$3))-A12</f>
        <v/>
      </c>
      <c r="D12" s="8">
        <f>1E7*(1/$D$5-1/B12)-A12</f>
        <v/>
      </c>
      <c r="E12" s="8">
        <f>1E7*(1/$D$5-1/(B12+$D$3))-A12</f>
        <v/>
      </c>
    </row>
    <row r="13">
      <c r="A13" t="n">
        <v>700</v>
      </c>
      <c r="B13" s="8">
        <f>1/(1/$D$4-A13*1E-7)</f>
        <v/>
      </c>
      <c r="C13" s="8">
        <f>1E7*(1/$D$4-1/(B13+$D$3))-A13</f>
        <v/>
      </c>
      <c r="D13" s="8">
        <f>1E7*(1/$D$5-1/B13)-A13</f>
        <v/>
      </c>
      <c r="E13" s="8">
        <f>1E7*(1/$D$5-1/(B13+$D$3))-A13</f>
        <v/>
      </c>
    </row>
    <row r="14">
      <c r="A14" t="n">
        <v>800</v>
      </c>
      <c r="B14" s="8">
        <f>1/(1/$D$4-A14*1E-7)</f>
        <v/>
      </c>
      <c r="C14" s="8">
        <f>1E7*(1/$D$4-1/(B14+$D$3))-A14</f>
        <v/>
      </c>
      <c r="D14" s="8">
        <f>1E7*(1/$D$5-1/B14)-A14</f>
        <v/>
      </c>
      <c r="E14" s="8">
        <f>1E7*(1/$D$5-1/(B14+$D$3))-A14</f>
        <v/>
      </c>
    </row>
    <row r="15">
      <c r="A15" t="n">
        <v>900</v>
      </c>
      <c r="B15" s="8">
        <f>1/(1/$D$4-A15*1E-7)</f>
        <v/>
      </c>
      <c r="C15" s="8">
        <f>1E7*(1/$D$4-1/(B15+$D$3))-A15</f>
        <v/>
      </c>
      <c r="D15" s="8">
        <f>1E7*(1/$D$5-1/B15)-A15</f>
        <v/>
      </c>
      <c r="E15" s="8">
        <f>1E7*(1/$D$5-1/(B15+$D$3))-A15</f>
        <v/>
      </c>
    </row>
    <row r="16">
      <c r="A16" t="n">
        <v>1000</v>
      </c>
      <c r="B16" s="8">
        <f>1/(1/$D$4-A16*1E-7)</f>
        <v/>
      </c>
      <c r="C16" s="8">
        <f>1E7*(1/$D$4-1/(B16+$D$3))-A16</f>
        <v/>
      </c>
      <c r="D16" s="8">
        <f>1E7*(1/$D$5-1/B16)-A16</f>
        <v/>
      </c>
      <c r="E16" s="8">
        <f>1E7*(1/$D$5-1/(B16+$D$3))-A16</f>
        <v/>
      </c>
    </row>
    <row r="17">
      <c r="A17" t="n">
        <v>1100</v>
      </c>
      <c r="B17" s="8">
        <f>1/(1/$D$4-A17*1E-7)</f>
        <v/>
      </c>
      <c r="C17" s="8">
        <f>1E7*(1/$D$4-1/(B17+$D$3))-A17</f>
        <v/>
      </c>
      <c r="D17" s="8">
        <f>1E7*(1/$D$5-1/B17)-A17</f>
        <v/>
      </c>
      <c r="E17" s="8">
        <f>1E7*(1/$D$5-1/(B17+$D$3))-A17</f>
        <v/>
      </c>
    </row>
    <row r="18">
      <c r="A18" t="n">
        <v>1200</v>
      </c>
      <c r="B18" s="8">
        <f>1/(1/$D$4-A18*1E-7)</f>
        <v/>
      </c>
      <c r="C18" s="8">
        <f>1E7*(1/$D$4-1/(B18+$D$3))-A18</f>
        <v/>
      </c>
      <c r="D18" s="8">
        <f>1E7*(1/$D$5-1/B18)-A18</f>
        <v/>
      </c>
      <c r="E18" s="8">
        <f>1E7*(1/$D$5-1/(B18+$D$3))-A18</f>
        <v/>
      </c>
    </row>
    <row r="19">
      <c r="A19" t="n">
        <v>1300</v>
      </c>
      <c r="B19" s="8">
        <f>1/(1/$D$4-A19*1E-7)</f>
        <v/>
      </c>
      <c r="C19" s="8">
        <f>1E7*(1/$D$4-1/(B19+$D$3))-A19</f>
        <v/>
      </c>
      <c r="D19" s="8">
        <f>1E7*(1/$D$5-1/B19)-A19</f>
        <v/>
      </c>
      <c r="E19" s="8">
        <f>1E7*(1/$D$5-1/(B19+$D$3))-A19</f>
        <v/>
      </c>
    </row>
    <row r="20">
      <c r="A20" t="n">
        <v>1400</v>
      </c>
      <c r="B20" s="8">
        <f>1/(1/$D$4-A20*1E-7)</f>
        <v/>
      </c>
      <c r="C20" s="8">
        <f>1E7*(1/$D$4-1/(B20+$D$3))-A20</f>
        <v/>
      </c>
      <c r="D20" s="8">
        <f>1E7*(1/$D$5-1/B20)-A20</f>
        <v/>
      </c>
      <c r="E20" s="8">
        <f>1E7*(1/$D$5-1/(B20+$D$3))-A20</f>
        <v/>
      </c>
    </row>
    <row r="21">
      <c r="A21" t="n">
        <v>1500</v>
      </c>
      <c r="B21" s="8">
        <f>1/(1/$D$4-A21*1E-7)</f>
        <v/>
      </c>
      <c r="C21" s="8">
        <f>1E7*(1/$D$4-1/(B21+$D$3))-A21</f>
        <v/>
      </c>
      <c r="D21" s="8">
        <f>1E7*(1/$D$5-1/B21)-A21</f>
        <v/>
      </c>
      <c r="E21" s="8">
        <f>1E7*(1/$D$5-1/(B21+$D$3))-A21</f>
        <v/>
      </c>
    </row>
    <row r="22">
      <c r="A22" t="n">
        <v>1600</v>
      </c>
      <c r="B22" s="8">
        <f>1/(1/$D$4-A22*1E-7)</f>
        <v/>
      </c>
      <c r="C22" s="8">
        <f>1E7*(1/$D$4-1/(B22+$D$3))-A22</f>
        <v/>
      </c>
      <c r="D22" s="8">
        <f>1E7*(1/$D$5-1/B22)-A22</f>
        <v/>
      </c>
      <c r="E22" s="8">
        <f>1E7*(1/$D$5-1/(B22+$D$3))-A22</f>
        <v/>
      </c>
    </row>
    <row r="23">
      <c r="A23" t="n">
        <v>1700</v>
      </c>
      <c r="B23" s="8">
        <f>1/(1/$D$4-A23*1E-7)</f>
        <v/>
      </c>
      <c r="C23" s="8">
        <f>1E7*(1/$D$4-1/(B23+$D$3))-A23</f>
        <v/>
      </c>
      <c r="D23" s="8">
        <f>1E7*(1/$D$5-1/B23)-A23</f>
        <v/>
      </c>
      <c r="E23" s="8">
        <f>1E7*(1/$D$5-1/(B23+$D$3))-A23</f>
        <v/>
      </c>
    </row>
    <row r="24">
      <c r="A24" t="n">
        <v>1800</v>
      </c>
      <c r="B24" s="8">
        <f>1/(1/$D$4-A24*1E-7)</f>
        <v/>
      </c>
      <c r="C24" s="8">
        <f>1E7*(1/$D$4-1/(B24+$D$3))-A24</f>
        <v/>
      </c>
      <c r="D24" s="8">
        <f>1E7*(1/$D$5-1/B24)-A24</f>
        <v/>
      </c>
      <c r="E24" s="8">
        <f>1E7*(1/$D$5-1/(B24+$D$3))-A24</f>
        <v/>
      </c>
    </row>
    <row r="25">
      <c r="A25" t="n">
        <v>1900</v>
      </c>
      <c r="B25" s="8">
        <f>1/(1/$D$4-A25*1E-7)</f>
        <v/>
      </c>
      <c r="C25" s="8">
        <f>1E7*(1/$D$4-1/(B25+$D$3))-A25</f>
        <v/>
      </c>
      <c r="D25" s="8">
        <f>1E7*(1/$D$5-1/B25)-A25</f>
        <v/>
      </c>
      <c r="E25" s="8">
        <f>1E7*(1/$D$5-1/(B25+$D$3))-A25</f>
        <v/>
      </c>
    </row>
    <row r="26">
      <c r="A26" t="n">
        <v>2000</v>
      </c>
      <c r="B26" s="8">
        <f>1/(1/$D$4-A26*1E-7)</f>
        <v/>
      </c>
      <c r="C26" s="8">
        <f>1E7*(1/$D$4-1/(B26+$D$3))-A26</f>
        <v/>
      </c>
      <c r="D26" s="8">
        <f>1E7*(1/$D$5-1/B26)-A26</f>
        <v/>
      </c>
      <c r="E26" s="8">
        <f>1E7*(1/$D$5-1/(B26+$D$3))-A26</f>
        <v/>
      </c>
    </row>
    <row r="27">
      <c r="A27" t="n">
        <v>2100</v>
      </c>
      <c r="B27" s="8">
        <f>1/(1/$D$4-A27*1E-7)</f>
        <v/>
      </c>
      <c r="C27" s="8">
        <f>1E7*(1/$D$4-1/(B27+$D$3))-A27</f>
        <v/>
      </c>
      <c r="D27" s="8">
        <f>1E7*(1/$D$5-1/B27)-A27</f>
        <v/>
      </c>
      <c r="E27" s="8">
        <f>1E7*(1/$D$5-1/(B27+$D$3))-A27</f>
        <v/>
      </c>
    </row>
    <row r="28">
      <c r="A28" t="n">
        <v>2200</v>
      </c>
      <c r="B28" s="8">
        <f>1/(1/$D$4-A28*1E-7)</f>
        <v/>
      </c>
      <c r="C28" s="8">
        <f>1E7*(1/$D$4-1/(B28+$D$3))-A28</f>
        <v/>
      </c>
      <c r="D28" s="8">
        <f>1E7*(1/$D$5-1/B28)-A28</f>
        <v/>
      </c>
      <c r="E28" s="8">
        <f>1E7*(1/$D$5-1/(B28+$D$3))-A28</f>
        <v/>
      </c>
    </row>
    <row r="29">
      <c r="A29" t="n">
        <v>2300</v>
      </c>
      <c r="B29" s="8">
        <f>1/(1/$D$4-A29*1E-7)</f>
        <v/>
      </c>
      <c r="C29" s="8">
        <f>1E7*(1/$D$4-1/(B29+$D$3))-A29</f>
        <v/>
      </c>
      <c r="D29" s="8">
        <f>1E7*(1/$D$5-1/B29)-A29</f>
        <v/>
      </c>
      <c r="E29" s="8">
        <f>1E7*(1/$D$5-1/(B29+$D$3))-A29</f>
        <v/>
      </c>
    </row>
    <row r="30">
      <c r="A30" t="n">
        <v>2400</v>
      </c>
      <c r="B30" s="8">
        <f>1/(1/$D$4-A30*1E-7)</f>
        <v/>
      </c>
      <c r="C30" s="8">
        <f>1E7*(1/$D$4-1/(B30+$D$3))-A30</f>
        <v/>
      </c>
      <c r="D30" s="8">
        <f>1E7*(1/$D$5-1/B30)-A30</f>
        <v/>
      </c>
      <c r="E30" s="8">
        <f>1E7*(1/$D$5-1/(B30+$D$3))-A30</f>
        <v/>
      </c>
    </row>
    <row r="31">
      <c r="A31" t="n">
        <v>2500</v>
      </c>
      <c r="B31" s="8">
        <f>1/(1/$D$4-A31*1E-7)</f>
        <v/>
      </c>
      <c r="C31" s="8">
        <f>1E7*(1/$D$4-1/(B31+$D$3))-A31</f>
        <v/>
      </c>
      <c r="D31" s="8">
        <f>1E7*(1/$D$5-1/B31)-A31</f>
        <v/>
      </c>
      <c r="E31" s="8">
        <f>1E7*(1/$D$5-1/(B31+$D$3))-A31</f>
        <v/>
      </c>
    </row>
    <row r="32">
      <c r="A32" t="n">
        <v>2600</v>
      </c>
      <c r="B32" s="8">
        <f>1/(1/$D$4-A32*1E-7)</f>
        <v/>
      </c>
      <c r="C32" s="8">
        <f>1E7*(1/$D$4-1/(B32+$D$3))-A32</f>
        <v/>
      </c>
      <c r="D32" s="8">
        <f>1E7*(1/$D$5-1/B32)-A32</f>
        <v/>
      </c>
      <c r="E32" s="8">
        <f>1E7*(1/$D$5-1/(B32+$D$3))-A32</f>
        <v/>
      </c>
    </row>
    <row r="33">
      <c r="A33" t="n">
        <v>2700</v>
      </c>
      <c r="B33" s="8">
        <f>1/(1/$D$4-A33*1E-7)</f>
        <v/>
      </c>
      <c r="C33" s="8">
        <f>1E7*(1/$D$4-1/(B33+$D$3))-A33</f>
        <v/>
      </c>
      <c r="D33" s="8">
        <f>1E7*(1/$D$5-1/B33)-A33</f>
        <v/>
      </c>
      <c r="E33" s="8">
        <f>1E7*(1/$D$5-1/(B33+$D$3))-A33</f>
        <v/>
      </c>
    </row>
    <row r="34">
      <c r="A34" t="n">
        <v>2800</v>
      </c>
      <c r="B34" s="8">
        <f>1/(1/$D$4-A34*1E-7)</f>
        <v/>
      </c>
      <c r="C34" s="8">
        <f>1E7*(1/$D$4-1/(B34+$D$3))-A34</f>
        <v/>
      </c>
      <c r="D34" s="8">
        <f>1E7*(1/$D$5-1/B34)-A34</f>
        <v/>
      </c>
      <c r="E34" s="8">
        <f>1E7*(1/$D$5-1/(B34+$D$3))-A34</f>
        <v/>
      </c>
    </row>
    <row r="35">
      <c r="A35" t="n">
        <v>2900</v>
      </c>
      <c r="B35" s="8">
        <f>1/(1/$D$4-A35*1E-7)</f>
        <v/>
      </c>
      <c r="C35" s="8">
        <f>1E7*(1/$D$4-1/(B35+$D$3))-A35</f>
        <v/>
      </c>
      <c r="D35" s="8">
        <f>1E7*(1/$D$5-1/B35)-A35</f>
        <v/>
      </c>
      <c r="E35" s="8">
        <f>1E7*(1/$D$5-1/(B35+$D$3))-A35</f>
        <v/>
      </c>
    </row>
    <row r="36">
      <c r="A36" t="n">
        <v>3000</v>
      </c>
      <c r="B36" s="8">
        <f>1/(1/$D$4-A36*1E-7)</f>
        <v/>
      </c>
      <c r="C36" s="8">
        <f>1E7*(1/$D$4-1/(B36+$D$3))-A36</f>
        <v/>
      </c>
      <c r="D36" s="8">
        <f>1E7*(1/$D$5-1/B36)-A36</f>
        <v/>
      </c>
      <c r="E36" s="8">
        <f>1E7*(1/$D$5-1/(B36+$D$3))-A36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2026-09-03T16:45:49Z</dcterms:created>
  <dcterms:modified xmlns:dcterms="http://purl.org/dc/terms/" xmlns:xsi="http://www.w3.org/2001/XMLSchema-instance" xsi:type="dcterms:W3CDTF">2026-09-03T16:45:49Z</dcterms:modified>
</cp:coreProperties>
</file>