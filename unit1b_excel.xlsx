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_燈校正" sheetId="1" state="visible" r:id="rId3"/>
    <sheet name="2_反解雷射波長" sheetId="2" state="visible" r:id="rId4"/>
    <sheet name="3_雙誤差拆解" sheetId="3" state="visible" r:id="rId5"/>
    <sheet name="4_峰位估計" sheetId="4" state="visible" r:id="rId6"/>
    <sheet name="5_矽日常快檢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<sst xmlns="http://schemas.openxmlformats.org/spreadsheetml/2006/main" count="105" uniqueCount="93">
  <si>
    <r>
      <rPr>
        <b val="true"/>
        <sz val="13"/>
        <rFont val="Cambria"/>
        <family val="0"/>
        <charset val="1"/>
      </rPr>
      <t xml:space="preserve">Step 1</t>
    </r>
    <r>
      <rPr>
        <b val="true"/>
        <sz val="13"/>
        <rFont val="Noto Sans TC"/>
        <family val="2"/>
        <charset val="136"/>
      </rPr>
      <t xml:space="preserve">　用 </t>
    </r>
    <r>
      <rPr>
        <b val="true"/>
        <sz val="13"/>
        <rFont val="Cambria"/>
        <family val="0"/>
        <charset val="1"/>
      </rPr>
      <t xml:space="preserve">Ar/Hg </t>
    </r>
    <r>
      <rPr>
        <b val="true"/>
        <sz val="13"/>
        <rFont val="Noto Sans TC"/>
        <family val="2"/>
        <charset val="136"/>
      </rPr>
      <t xml:space="preserve">燈的 </t>
    </r>
    <r>
      <rPr>
        <b val="true"/>
        <sz val="13"/>
        <rFont val="Cambria"/>
        <family val="0"/>
        <charset val="1"/>
      </rPr>
      <t xml:space="preserve">NIST </t>
    </r>
    <r>
      <rPr>
        <b val="true"/>
        <sz val="13"/>
        <rFont val="Noto Sans TC"/>
        <family val="2"/>
        <charset val="136"/>
      </rPr>
      <t xml:space="preserve">譜線檢查 </t>
    </r>
    <r>
      <rPr>
        <b val="true"/>
        <sz val="13"/>
        <rFont val="Cambria"/>
        <family val="0"/>
        <charset val="1"/>
      </rPr>
      <t xml:space="preserve">QEPro </t>
    </r>
    <r>
      <rPr>
        <b val="true"/>
        <sz val="13"/>
        <rFont val="Noto Sans TC"/>
        <family val="2"/>
        <charset val="136"/>
      </rPr>
      <t xml:space="preserve">的波長軸；</t>
    </r>
    <r>
      <rPr>
        <b val="true"/>
        <sz val="13"/>
        <rFont val="Cambria"/>
        <family val="0"/>
        <charset val="1"/>
      </rPr>
      <t xml:space="preserve">LINEST </t>
    </r>
    <r>
      <rPr>
        <b val="true"/>
        <sz val="13"/>
        <rFont val="Noto Sans TC"/>
        <family val="2"/>
        <charset val="136"/>
      </rPr>
      <t xml:space="preserve">擬合 </t>
    </r>
    <r>
      <rPr>
        <b val="true"/>
        <sz val="13"/>
        <rFont val="Cambria"/>
        <family val="0"/>
        <charset val="1"/>
      </rPr>
      <t xml:space="preserve">λ_true = A·λ_reported + B</t>
    </r>
  </si>
  <si>
    <r>
      <rPr>
        <sz val="11"/>
        <color theme="1"/>
        <rFont val="Noto Sans TC"/>
        <family val="2"/>
        <charset val="136"/>
      </rPr>
      <t xml:space="preserve">黃底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Noto Sans TC"/>
        <family val="2"/>
        <charset val="136"/>
      </rPr>
      <t xml:space="preserve">你可以改的輸入（觀測峰位來自 </t>
    </r>
    <r>
      <rPr>
        <sz val="11"/>
        <color theme="1"/>
        <rFont val="Calibri"/>
        <family val="2"/>
        <charset val="1"/>
      </rPr>
      <t xml:space="preserve">unit1b_calibration.py §3</t>
    </r>
    <r>
      <rPr>
        <sz val="11"/>
        <color theme="1"/>
        <rFont val="Noto Sans TC"/>
        <family val="2"/>
        <charset val="136"/>
      </rPr>
      <t xml:space="preserve">，也可以自己在 </t>
    </r>
    <r>
      <rPr>
        <sz val="11"/>
        <color theme="1"/>
        <rFont val="Calibri"/>
        <family val="2"/>
        <charset val="1"/>
      </rPr>
      <t xml:space="preserve">CSV </t>
    </r>
    <r>
      <rPr>
        <sz val="11"/>
        <color theme="1"/>
        <rFont val="Noto Sans TC"/>
        <family val="2"/>
        <charset val="136"/>
      </rPr>
      <t xml:space="preserve">裡用質心重算）</t>
    </r>
  </si>
  <si>
    <r>
      <rPr>
        <b val="true"/>
        <sz val="11"/>
        <color rgb="FFFFFFFF"/>
        <rFont val="Cambria"/>
        <family val="0"/>
        <charset val="1"/>
      </rPr>
      <t xml:space="preserve">NIST </t>
    </r>
    <r>
      <rPr>
        <b val="true"/>
        <sz val="11"/>
        <color rgb="FFFFFFFF"/>
        <rFont val="Noto Sans TC"/>
        <family val="2"/>
        <charset val="136"/>
      </rPr>
      <t xml:space="preserve">真值 </t>
    </r>
    <r>
      <rPr>
        <b val="true"/>
        <sz val="11"/>
        <color rgb="FFFFFFFF"/>
        <rFont val="Cambria"/>
        <family val="0"/>
        <charset val="1"/>
      </rPr>
      <t xml:space="preserve">(nm, </t>
    </r>
    <r>
      <rPr>
        <b val="true"/>
        <sz val="11"/>
        <color rgb="FFFFFFFF"/>
        <rFont val="Noto Sans TC"/>
        <family val="2"/>
        <charset val="136"/>
      </rPr>
      <t xml:space="preserve">空氣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</si>
  <si>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物種</t>
  </si>
  <si>
    <r>
      <rPr>
        <b val="true"/>
        <sz val="11"/>
        <color rgb="FFFFFFFF"/>
        <rFont val="Noto Sans TC"/>
        <family val="2"/>
        <charset val="136"/>
      </rPr>
      <t xml:space="preserve">檔案觀測 </t>
    </r>
    <r>
      <rPr>
        <b val="true"/>
        <sz val="11"/>
        <color rgb="FFFFFFFF"/>
        <rFont val="Cambria"/>
        <family val="0"/>
        <charset val="1"/>
      </rPr>
      <t xml:space="preserve">(nm)</t>
    </r>
  </si>
  <si>
    <r>
      <rPr>
        <b val="true"/>
        <sz val="11"/>
        <color rgb="FFFFFFFF"/>
        <rFont val="Noto Sans TC"/>
        <family val="2"/>
        <charset val="136"/>
      </rPr>
      <t xml:space="preserve">偏差 </t>
    </r>
    <r>
      <rPr>
        <b val="true"/>
        <sz val="11"/>
        <color rgb="FFFFFFFF"/>
        <rFont val="Cambria"/>
        <family val="0"/>
        <charset val="1"/>
      </rPr>
      <t xml:space="preserve">= </t>
    </r>
    <r>
      <rPr>
        <b val="true"/>
        <sz val="11"/>
        <color rgb="FFFFFFFF"/>
        <rFont val="Noto Sans TC"/>
        <family val="2"/>
        <charset val="136"/>
      </rPr>
      <t xml:space="preserve">觀測 − 真值</t>
    </r>
  </si>
  <si>
    <r>
      <rPr>
        <b val="true"/>
        <sz val="11"/>
        <color rgb="FFFFFFFF"/>
        <rFont val="Noto Sans TC"/>
        <family val="2"/>
        <charset val="136"/>
      </rPr>
      <t xml:space="preserve">線性修正後 </t>
    </r>
    <r>
      <rPr>
        <b val="true"/>
        <sz val="11"/>
        <color rgb="FFFFFFFF"/>
        <rFont val="Cambria"/>
        <family val="0"/>
        <charset val="1"/>
      </rPr>
      <t xml:space="preserve">(nm)</t>
    </r>
  </si>
  <si>
    <r>
      <rPr>
        <b val="true"/>
        <sz val="11"/>
        <color rgb="FFFFFFFF"/>
        <rFont val="Noto Sans TC"/>
        <family val="2"/>
        <charset val="136"/>
      </rPr>
      <t xml:space="preserve">殘差 </t>
    </r>
    <r>
      <rPr>
        <b val="true"/>
        <sz val="11"/>
        <color rgb="FFFFFFFF"/>
        <rFont val="Cambria"/>
        <family val="0"/>
        <charset val="1"/>
      </rPr>
      <t xml:space="preserve">= </t>
    </r>
    <r>
      <rPr>
        <b val="true"/>
        <sz val="11"/>
        <color rgb="FFFFFFFF"/>
        <rFont val="Noto Sans TC"/>
        <family val="2"/>
        <charset val="136"/>
      </rPr>
      <t xml:space="preserve">真值 − 修正後</t>
    </r>
  </si>
  <si>
    <t xml:space="preserve">Ar I</t>
  </si>
  <si>
    <r>
      <rPr>
        <b val="true"/>
        <sz val="11"/>
        <rFont val="Noto Sans TC"/>
        <family val="2"/>
        <charset val="136"/>
      </rPr>
      <t xml:space="preserve">係數（</t>
    </r>
    <r>
      <rPr>
        <b val="true"/>
        <sz val="11"/>
        <rFont val="Cambria"/>
        <family val="0"/>
        <charset val="1"/>
      </rPr>
      <t xml:space="preserve">LINEST</t>
    </r>
    <r>
      <rPr>
        <b val="true"/>
        <sz val="11"/>
        <rFont val="Noto Sans TC"/>
        <family val="2"/>
        <charset val="136"/>
      </rPr>
      <t xml:space="preserve">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</si>
  <si>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TC"/>
        <family val="2"/>
        <charset val="136"/>
      </rPr>
      <t xml:space="preserve">（斜率）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</si>
  <si>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TC"/>
        <family val="2"/>
        <charset val="136"/>
      </rPr>
      <t xml:space="preserve">（截距）</t>
    </r>
  </si>
  <si>
    <r>
      <rPr>
        <sz val="11"/>
        <color theme="1"/>
        <rFont val="Noto Sans TC"/>
        <family val="2"/>
        <charset val="136"/>
      </rPr>
      <t xml:space="preserve">平均偏差 </t>
    </r>
    <r>
      <rPr>
        <sz val="11"/>
        <color theme="1"/>
        <rFont val="Calibri"/>
        <family val="2"/>
        <charset val="1"/>
      </rPr>
      <t xml:space="preserve">(nm)</t>
    </r>
  </si>
  <si>
    <r>
      <rPr>
        <sz val="11"/>
        <color theme="1"/>
        <rFont val="Noto Sans TC"/>
        <family val="2"/>
        <charset val="136"/>
      </rPr>
      <t xml:space="preserve">偏差 </t>
    </r>
    <r>
      <rPr>
        <sz val="11"/>
        <color theme="1"/>
        <rFont val="Calibri"/>
        <family val="2"/>
        <charset val="1"/>
      </rPr>
      <t xml:space="preserve">SD (nm)</t>
    </r>
  </si>
  <si>
    <r>
      <rPr>
        <sz val="11"/>
        <color theme="1"/>
        <rFont val="Noto Sans TC"/>
        <family val="2"/>
        <charset val="136"/>
      </rPr>
      <t xml:space="preserve">修正後殘差 </t>
    </r>
    <r>
      <rPr>
        <sz val="11"/>
        <color theme="1"/>
        <rFont val="Calibri"/>
        <family val="2"/>
        <charset val="1"/>
      </rPr>
      <t xml:space="preserve">rms (nm)</t>
    </r>
  </si>
  <si>
    <r>
      <rPr>
        <sz val="11"/>
        <color theme="1"/>
        <rFont val="Calibri"/>
        <family val="2"/>
        <charset val="1"/>
      </rPr>
      <t xml:space="preserve">1 nm </t>
    </r>
    <r>
      <rPr>
        <sz val="11"/>
        <color theme="1"/>
        <rFont val="Noto Sans TC"/>
        <family val="2"/>
        <charset val="136"/>
      </rPr>
      <t xml:space="preserve">偏差 ≈ 幾個 </t>
    </r>
    <r>
      <rPr>
        <sz val="11"/>
        <color theme="1"/>
        <rFont val="Calibri"/>
        <family val="2"/>
        <charset val="1"/>
      </rPr>
      <t xml:space="preserve">cm⁻¹</t>
    </r>
    <r>
      <rPr>
        <sz val="11"/>
        <color theme="1"/>
        <rFont val="Noto Sans TC"/>
        <family val="2"/>
        <charset val="136"/>
      </rPr>
      <t xml:space="preserve">？（在 </t>
    </r>
    <r>
      <rPr>
        <sz val="11"/>
        <color theme="1"/>
        <rFont val="Calibri"/>
        <family val="2"/>
        <charset val="1"/>
      </rPr>
      <t xml:space="preserve">850 nm</t>
    </r>
    <r>
      <rPr>
        <sz val="11"/>
        <color theme="1"/>
        <rFont val="Noto Sans TC"/>
        <family val="2"/>
        <charset val="136"/>
      </rPr>
      <t xml:space="preserve">）</t>
    </r>
  </si>
  <si>
    <t xml:space="preserve">Hg I</t>
  </si>
  <si>
    <r>
      <rPr>
        <b val="true"/>
        <sz val="13"/>
        <rFont val="Cambria"/>
        <family val="0"/>
        <charset val="1"/>
      </rPr>
      <t xml:space="preserve">Step 2</t>
    </r>
    <r>
      <rPr>
        <b val="true"/>
        <sz val="13"/>
        <rFont val="Noto Sans TC"/>
        <family val="2"/>
        <charset val="136"/>
      </rPr>
      <t xml:space="preserve">　把苯甲酸的報告位移 → 還原波長 → 套燈校正 → 用『試驗雷射波長』換算回位移，看哪個 </t>
    </r>
    <r>
      <rPr>
        <b val="true"/>
        <sz val="13"/>
        <rFont val="Cambria"/>
        <family val="0"/>
        <charset val="1"/>
      </rPr>
      <t xml:space="preserve">λ_L </t>
    </r>
    <r>
      <rPr>
        <b val="true"/>
        <sz val="13"/>
        <rFont val="Noto Sans TC"/>
        <family val="2"/>
        <charset val="136"/>
      </rPr>
      <t xml:space="preserve">讓誤差最小</t>
    </r>
  </si>
  <si>
    <r>
      <rPr>
        <sz val="11"/>
        <color theme="1"/>
        <rFont val="Calibri"/>
        <family val="2"/>
        <charset val="1"/>
      </rPr>
      <t xml:space="preserve">OceanView </t>
    </r>
    <r>
      <rPr>
        <sz val="11"/>
        <color theme="1"/>
        <rFont val="Noto Sans TC"/>
        <family val="2"/>
        <charset val="136"/>
      </rPr>
      <t xml:space="preserve">用的標稱雷射波長 </t>
    </r>
    <r>
      <rPr>
        <sz val="11"/>
        <color theme="1"/>
        <rFont val="Calibri"/>
        <family val="2"/>
        <charset val="1"/>
      </rPr>
      <t xml:space="preserve">(nm)</t>
    </r>
  </si>
  <si>
    <r>
      <rPr>
        <sz val="11"/>
        <color theme="1"/>
        <rFont val="Noto Sans TC"/>
        <family val="2"/>
        <charset val="136"/>
      </rPr>
      <t xml:space="preserve">試驗雷射波長 </t>
    </r>
    <r>
      <rPr>
        <sz val="11"/>
        <color theme="1"/>
        <rFont val="Calibri"/>
        <family val="2"/>
        <charset val="1"/>
      </rPr>
      <t xml:space="preserve">λ_L (nm) ← </t>
    </r>
    <r>
      <rPr>
        <sz val="11"/>
        <color theme="1"/>
        <rFont val="Noto Sans TC"/>
        <family val="2"/>
        <charset val="136"/>
      </rPr>
      <t xml:space="preserve">改這格看 </t>
    </r>
    <r>
      <rPr>
        <sz val="11"/>
        <color theme="1"/>
        <rFont val="Calibri"/>
        <family val="2"/>
        <charset val="1"/>
      </rPr>
      <t xml:space="preserve">rms </t>
    </r>
    <r>
      <rPr>
        <sz val="11"/>
        <color theme="1"/>
        <rFont val="Noto Sans TC"/>
        <family val="2"/>
        <charset val="136"/>
      </rPr>
      <t xml:space="preserve">怎麼變</t>
    </r>
  </si>
  <si>
    <r>
      <rPr>
        <sz val="11"/>
        <color theme="1"/>
        <rFont val="Noto Sans TC"/>
        <family val="2"/>
        <charset val="136"/>
      </rPr>
      <t xml:space="preserve">燈校正係數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TC"/>
        <family val="2"/>
        <charset val="136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TC"/>
        <family val="2"/>
        <charset val="136"/>
      </rPr>
      <t xml:space="preserve">（來自工作表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TC"/>
        <family val="2"/>
        <charset val="136"/>
      </rPr>
      <t xml:space="preserve">）</t>
    </r>
  </si>
  <si>
    <r>
      <rPr>
        <b val="true"/>
        <sz val="11"/>
        <color rgb="FFFFFFFF"/>
        <rFont val="Noto Sans TC"/>
        <family val="2"/>
        <charset val="136"/>
      </rPr>
      <t xml:space="preserve">報告位移 </t>
    </r>
    <r>
      <rPr>
        <b val="true"/>
        <sz val="11"/>
        <color rgb="FFFFFFFF"/>
        <rFont val="Cambria"/>
        <family val="0"/>
        <charset val="1"/>
      </rPr>
      <t xml:space="preserve">(cm⁻¹)</t>
    </r>
  </si>
  <si>
    <r>
      <rPr>
        <b val="true"/>
        <sz val="11"/>
        <color rgb="FFFFFFFF"/>
        <rFont val="Noto Sans TC"/>
        <family val="2"/>
        <charset val="136"/>
      </rPr>
      <t xml:space="preserve">文獻值 </t>
    </r>
    <r>
      <rPr>
        <b val="true"/>
        <sz val="11"/>
        <color rgb="FFFFFFFF"/>
        <rFont val="Cambria"/>
        <family val="0"/>
        <charset val="1"/>
      </rPr>
      <t xml:space="preserve">(cm⁻¹)</t>
    </r>
  </si>
  <si>
    <r>
      <rPr>
        <b val="true"/>
        <sz val="11"/>
        <color rgb="FFFFFFFF"/>
        <rFont val="Noto Sans TC"/>
        <family val="2"/>
        <charset val="136"/>
      </rPr>
      <t xml:space="preserve">還原波長 </t>
    </r>
    <r>
      <rPr>
        <b val="true"/>
        <sz val="11"/>
        <color rgb="FFFFFFFF"/>
        <rFont val="Cambria"/>
        <family val="0"/>
        <charset val="1"/>
      </rPr>
      <t xml:space="preserve">λ_rep = 1/(1/785 − ν̃·1e-7)</t>
    </r>
  </si>
  <si>
    <r>
      <rPr>
        <b val="true"/>
        <sz val="11"/>
        <color rgb="FFFFFFFF"/>
        <rFont val="Noto Sans TC"/>
        <family val="2"/>
        <charset val="136"/>
      </rPr>
      <t xml:space="preserve">校正波長 </t>
    </r>
    <r>
      <rPr>
        <b val="true"/>
        <sz val="11"/>
        <color rgb="FFFFFFFF"/>
        <rFont val="Cambria"/>
        <family val="0"/>
        <charset val="1"/>
      </rPr>
      <t xml:space="preserve">λ_true = A·λ_rep + B</t>
    </r>
  </si>
  <si>
    <r>
      <rPr>
        <b val="true"/>
        <sz val="11"/>
        <color rgb="FFFFFFFF"/>
        <rFont val="Noto Sans TC"/>
        <family val="2"/>
        <charset val="136"/>
      </rPr>
      <t xml:space="preserve">修正位移 </t>
    </r>
    <r>
      <rPr>
        <b val="true"/>
        <sz val="11"/>
        <color rgb="FFFFFFFF"/>
        <rFont val="Cambria"/>
        <family val="0"/>
        <charset val="1"/>
      </rPr>
      <t xml:space="preserve">= 1e7·(1/λ_L − 1/λ_true)</t>
    </r>
  </si>
  <si>
    <r>
      <rPr>
        <b val="true"/>
        <sz val="11"/>
        <color rgb="FFFFFFFF"/>
        <rFont val="Noto Sans TC"/>
        <family val="2"/>
        <charset val="136"/>
      </rPr>
      <t xml:space="preserve">原始誤差 </t>
    </r>
    <r>
      <rPr>
        <b val="true"/>
        <sz val="11"/>
        <color rgb="FFFFFFFF"/>
        <rFont val="Cambria"/>
        <family val="0"/>
        <charset val="1"/>
      </rPr>
      <t xml:space="preserve">= </t>
    </r>
    <r>
      <rPr>
        <b val="true"/>
        <sz val="11"/>
        <color rgb="FFFFFFFF"/>
        <rFont val="Noto Sans TC"/>
        <family val="2"/>
        <charset val="136"/>
      </rPr>
      <t xml:space="preserve">報告 − 文獻</t>
    </r>
  </si>
  <si>
    <r>
      <rPr>
        <b val="true"/>
        <sz val="11"/>
        <color rgb="FFFFFFFF"/>
        <rFont val="Noto Sans TC"/>
        <family val="2"/>
        <charset val="136"/>
      </rPr>
      <t xml:space="preserve">修正後誤差 </t>
    </r>
    <r>
      <rPr>
        <b val="true"/>
        <sz val="11"/>
        <color rgb="FFFFFFFF"/>
        <rFont val="Cambria"/>
        <family val="0"/>
        <charset val="1"/>
      </rPr>
      <t xml:space="preserve">= </t>
    </r>
    <r>
      <rPr>
        <b val="true"/>
        <sz val="11"/>
        <color rgb="FFFFFFFF"/>
        <rFont val="Noto Sans TC"/>
        <family val="2"/>
        <charset val="136"/>
      </rPr>
      <t xml:space="preserve">修正 − 文獻</t>
    </r>
  </si>
  <si>
    <r>
      <rPr>
        <b val="true"/>
        <sz val="11"/>
        <rFont val="Noto Sans TC"/>
        <family val="2"/>
        <charset val="136"/>
      </rPr>
      <t xml:space="preserve">原始誤差平均 </t>
    </r>
    <r>
      <rPr>
        <b val="true"/>
        <sz val="11"/>
        <rFont val="Cambria"/>
        <family val="0"/>
        <charset val="1"/>
      </rPr>
      <t xml:space="preserve">/ rms (cm⁻¹)</t>
    </r>
  </si>
  <si>
    <r>
      <rPr>
        <b val="true"/>
        <sz val="11"/>
        <rFont val="Noto Sans TC"/>
        <family val="2"/>
        <charset val="136"/>
      </rPr>
      <t xml:space="preserve">修正後誤差平均 </t>
    </r>
    <r>
      <rPr>
        <b val="true"/>
        <sz val="11"/>
        <rFont val="Cambria"/>
        <family val="0"/>
        <charset val="1"/>
      </rPr>
      <t xml:space="preserve">/ rms (cm⁻¹)</t>
    </r>
  </si>
  <si>
    <r>
      <rPr>
        <b val="true"/>
        <sz val="11"/>
        <rFont val="Noto Sans TC"/>
        <family val="2"/>
        <charset val="136"/>
      </rPr>
      <t xml:space="preserve">網格搜尋：不用 </t>
    </r>
    <r>
      <rPr>
        <b val="true"/>
        <sz val="11"/>
        <rFont val="Cambria"/>
        <family val="0"/>
        <charset val="1"/>
      </rPr>
      <t xml:space="preserve">Solver</t>
    </r>
    <r>
      <rPr>
        <b val="true"/>
        <sz val="11"/>
        <rFont val="Noto Sans TC"/>
        <family val="2"/>
        <charset val="136"/>
      </rPr>
      <t xml:space="preserve">，也能找到最好的 </t>
    </r>
    <r>
      <rPr>
        <b val="true"/>
        <sz val="11"/>
        <rFont val="Cambria"/>
        <family val="0"/>
        <charset val="1"/>
      </rPr>
      <t xml:space="preserve">λ_L —— </t>
    </r>
    <r>
      <rPr>
        <b val="true"/>
        <sz val="11"/>
        <rFont val="Noto Sans TC"/>
        <family val="2"/>
        <charset val="136"/>
      </rPr>
      <t xml:space="preserve">看哪一列 </t>
    </r>
    <r>
      <rPr>
        <b val="true"/>
        <sz val="11"/>
        <rFont val="Cambria"/>
        <family val="0"/>
        <charset val="1"/>
      </rPr>
      <t xml:space="preserve">rms </t>
    </r>
    <r>
      <rPr>
        <b val="true"/>
        <sz val="11"/>
        <rFont val="Noto Sans TC"/>
        <family val="2"/>
        <charset val="136"/>
      </rPr>
      <t xml:space="preserve">最小</t>
    </r>
  </si>
  <si>
    <r>
      <rPr>
        <b val="true"/>
        <sz val="11"/>
        <color rgb="FFFFFFFF"/>
        <rFont val="Noto Sans TC"/>
        <family val="2"/>
        <charset val="136"/>
      </rPr>
      <t xml:space="preserve">試驗 </t>
    </r>
    <r>
      <rPr>
        <b val="true"/>
        <sz val="11"/>
        <color rgb="FFFFFFFF"/>
        <rFont val="Cambria"/>
        <family val="0"/>
        <charset val="1"/>
      </rPr>
      <t xml:space="preserve">λ_L (nm)</t>
    </r>
  </si>
  <si>
    <r>
      <rPr>
        <b val="true"/>
        <sz val="11"/>
        <color rgb="FFFFFFFF"/>
        <rFont val="Noto Sans TC"/>
        <family val="2"/>
        <charset val="136"/>
      </rPr>
      <t xml:space="preserve">修正後 </t>
    </r>
    <r>
      <rPr>
        <b val="true"/>
        <sz val="11"/>
        <color rgb="FFFFFFFF"/>
        <rFont val="Cambria"/>
        <family val="0"/>
        <charset val="1"/>
      </rPr>
      <t xml:space="preserve">rms (cm⁻¹)</t>
    </r>
  </si>
  <si>
    <r>
      <rPr>
        <b val="true"/>
        <sz val="11"/>
        <rFont val="Noto Sans TC"/>
        <family val="2"/>
        <charset val="136"/>
      </rPr>
      <t xml:space="preserve">最小 </t>
    </r>
    <r>
      <rPr>
        <b val="true"/>
        <sz val="11"/>
        <rFont val="Cambria"/>
        <family val="0"/>
        <charset val="1"/>
      </rPr>
      <t xml:space="preserve">rms </t>
    </r>
    <r>
      <rPr>
        <b val="true"/>
        <sz val="11"/>
        <rFont val="Noto Sans TC"/>
        <family val="2"/>
        <charset val="136"/>
      </rPr>
      <t xml:space="preserve">對應的 </t>
    </r>
    <r>
      <rPr>
        <b val="true"/>
        <sz val="11"/>
        <rFont val="Cambria"/>
        <family val="0"/>
        <charset val="1"/>
      </rPr>
      <t xml:space="preserve">λ_L</t>
    </r>
  </si>
  <si>
    <r>
      <rPr>
        <b val="true"/>
        <sz val="13"/>
        <rFont val="Cambria"/>
        <family val="0"/>
        <charset val="1"/>
      </rPr>
      <t xml:space="preserve">Step 3</t>
    </r>
    <r>
      <rPr>
        <b val="true"/>
        <sz val="13"/>
        <rFont val="Noto Sans TC"/>
        <family val="2"/>
        <charset val="136"/>
      </rPr>
      <t xml:space="preserve">　一個偏差、兩個來源：改 </t>
    </r>
    <r>
      <rPr>
        <b val="true"/>
        <sz val="13"/>
        <rFont val="Cambria"/>
        <family val="0"/>
        <charset val="1"/>
      </rPr>
      <t xml:space="preserve">D3</t>
    </r>
    <r>
      <rPr>
        <b val="true"/>
        <sz val="13"/>
        <rFont val="Noto Sans TC"/>
        <family val="2"/>
        <charset val="136"/>
      </rPr>
      <t xml:space="preserve">（波長軸偏移）與 </t>
    </r>
    <r>
      <rPr>
        <b val="true"/>
        <sz val="13"/>
        <rFont val="Cambria"/>
        <family val="0"/>
        <charset val="1"/>
      </rPr>
      <t xml:space="preserve">D4</t>
    </r>
    <r>
      <rPr>
        <b val="true"/>
        <sz val="13"/>
        <rFont val="Noto Sans TC"/>
        <family val="2"/>
        <charset val="136"/>
      </rPr>
      <t xml:space="preserve">（真實雷射波長），看三條誤差曲線怎麼變</t>
    </r>
  </si>
  <si>
    <r>
      <rPr>
        <sz val="11"/>
        <color theme="1"/>
        <rFont val="Noto Sans TC"/>
        <family val="2"/>
        <charset val="136"/>
      </rPr>
      <t xml:space="preserve">波長軸偏移 </t>
    </r>
    <r>
      <rPr>
        <sz val="11"/>
        <color theme="1"/>
        <rFont val="Calibri"/>
        <family val="2"/>
        <charset val="1"/>
      </rPr>
      <t xml:space="preserve">Δλ (nm)</t>
    </r>
    <r>
      <rPr>
        <sz val="11"/>
        <color theme="1"/>
        <rFont val="Noto Sans TC"/>
        <family val="2"/>
        <charset val="136"/>
      </rPr>
      <t xml:space="preserve">（檔案 − 真值；燈量到約 −</t>
    </r>
    <r>
      <rPr>
        <sz val="11"/>
        <color theme="1"/>
        <rFont val="Calibri"/>
        <family val="2"/>
        <charset val="1"/>
      </rPr>
      <t xml:space="preserve">0.94</t>
    </r>
    <r>
      <rPr>
        <sz val="11"/>
        <color theme="1"/>
        <rFont val="Noto Sans TC"/>
        <family val="2"/>
        <charset val="136"/>
      </rPr>
      <t xml:space="preserve">）</t>
    </r>
  </si>
  <si>
    <r>
      <rPr>
        <sz val="11"/>
        <color theme="1"/>
        <rFont val="Noto Sans TC"/>
        <family val="2"/>
        <charset val="136"/>
      </rPr>
      <t xml:space="preserve">真實雷射波長 </t>
    </r>
    <r>
      <rPr>
        <sz val="11"/>
        <color theme="1"/>
        <rFont val="Calibri"/>
        <family val="2"/>
        <charset val="1"/>
      </rPr>
      <t xml:space="preserve">(nm)</t>
    </r>
  </si>
  <si>
    <r>
      <rPr>
        <sz val="11"/>
        <color theme="1"/>
        <rFont val="Noto Sans TC"/>
        <family val="2"/>
        <charset val="136"/>
      </rPr>
      <t xml:space="preserve">軟體設定的雷射波長 </t>
    </r>
    <r>
      <rPr>
        <sz val="11"/>
        <color theme="1"/>
        <rFont val="Calibri"/>
        <family val="2"/>
        <charset val="1"/>
      </rPr>
      <t xml:space="preserve">(nm)</t>
    </r>
  </si>
  <si>
    <r>
      <rPr>
        <b val="true"/>
        <sz val="11"/>
        <color rgb="FFFFFFFF"/>
        <rFont val="Noto Sans TC"/>
        <family val="2"/>
        <charset val="136"/>
      </rPr>
      <t xml:space="preserve">真實位移 </t>
    </r>
    <r>
      <rPr>
        <b val="true"/>
        <sz val="11"/>
        <color rgb="FFFFFFFF"/>
        <rFont val="Cambria"/>
        <family val="0"/>
        <charset val="1"/>
      </rPr>
      <t xml:space="preserve">ν̃ (cm⁻¹)</t>
    </r>
  </si>
  <si>
    <r>
      <rPr>
        <b val="true"/>
        <sz val="11"/>
        <color rgb="FFFFFFFF"/>
        <rFont val="Noto Sans TC"/>
        <family val="2"/>
        <charset val="136"/>
      </rPr>
      <t xml:space="preserve">真實散射波長 </t>
    </r>
    <r>
      <rPr>
        <b val="true"/>
        <sz val="11"/>
        <color rgb="FFFFFFFF"/>
        <rFont val="Cambria"/>
        <family val="0"/>
        <charset val="1"/>
      </rPr>
      <t xml:space="preserve">λ = 1/(1/λ_L − ν̃·1e-7)</t>
    </r>
  </si>
  <si>
    <t xml:space="preserve">只有波長軸偏移：報告 − 真值</t>
  </si>
  <si>
    <t xml:space="preserve">只有雷射設錯：報告 − 真值</t>
  </si>
  <si>
    <t xml:space="preserve">兩者相加</t>
  </si>
  <si>
    <t xml:space="preserve">讀圖重點：</t>
  </si>
  <si>
    <r>
      <rPr>
        <sz val="11"/>
        <color theme="1"/>
        <rFont val="Noto Sans TC"/>
        <family val="2"/>
        <charset val="136"/>
      </rPr>
      <t xml:space="preserve">• 波長軸偏移的貢獻隨 </t>
    </r>
    <r>
      <rPr>
        <sz val="11"/>
        <color theme="1"/>
        <rFont val="Calibri"/>
        <family val="2"/>
        <charset val="1"/>
      </rPr>
      <t xml:space="preserve">ν̃ </t>
    </r>
    <r>
      <rPr>
        <sz val="11"/>
        <color theme="1"/>
        <rFont val="Noto Sans TC"/>
        <family val="2"/>
        <charset val="136"/>
      </rPr>
      <t xml:space="preserve">增加而變小（因為 </t>
    </r>
    <r>
      <rPr>
        <sz val="11"/>
        <color theme="1"/>
        <rFont val="Calibri"/>
        <family val="2"/>
        <charset val="1"/>
      </rPr>
      <t xml:space="preserve">dν̃ = 1e7·dλ/λ²</t>
    </r>
    <r>
      <rPr>
        <sz val="11"/>
        <color theme="1"/>
        <rFont val="Noto Sans TC"/>
        <family val="2"/>
        <charset val="136"/>
      </rPr>
      <t xml:space="preserve">，</t>
    </r>
    <r>
      <rPr>
        <sz val="11"/>
        <color theme="1"/>
        <rFont val="Calibri"/>
        <family val="2"/>
        <charset val="1"/>
      </rPr>
      <t xml:space="preserve">λ </t>
    </r>
    <r>
      <rPr>
        <sz val="11"/>
        <color theme="1"/>
        <rFont val="Noto Sans TC"/>
        <family val="2"/>
        <charset val="136"/>
      </rPr>
      <t xml:space="preserve">越長越不敏感）</t>
    </r>
  </si>
  <si>
    <t xml:space="preserve">• 雷射波長設錯的貢獻幾乎是常數</t>
  </si>
  <si>
    <t xml:space="preserve">• 所以看實測誤差『隨波數的斜率』就能分辨主因是哪一個</t>
  </si>
  <si>
    <t xml:space="preserve">Step 4　峰位怎麼估：拋物線頂點法 vs 半高質心（真實資料：QEPro-785 量矽，背面 100 mW）</t>
  </si>
  <si>
    <t xml:space="preserve">黃底 = 可以改的輸入。C 欄的 x² 是頂點法要用的第二個自變數；D、E 欄是質心法。兩種方法算出來的位置不會完全一樣——那正是重點：峰位的定義本身就是一種選擇。</t>
  </si>
  <si>
    <t xml:space="preserve">位移 (cm⁻¹)</t>
  </si>
  <si>
    <t xml:space="preserve">counts</t>
  </si>
  <si>
    <t xml:space="preserve">x² </t>
  </si>
  <si>
    <t xml:space="preserve">扣背景 S</t>
  </si>
  <si>
    <t xml:space="preserve">半高以上才留</t>
  </si>
  <si>
    <t xml:space="preserve">① 拋物線頂點法（只用峰頂 5 點）</t>
  </si>
  <si>
    <t xml:space="preserve">第幾列</t>
  </si>
  <si>
    <t xml:space="preserve">x</t>
  </si>
  <si>
    <t xml:space="preserve">x²</t>
  </si>
  <si>
    <t xml:space="preserve">峰頂所在列（MATCH 找到）</t>
  </si>
  <si>
    <t xml:space="preserve">取峰頂上下各 2 點，共 5 點 →</t>
  </si>
  <si>
    <t xml:space="preserve">a（x² 的係數）</t>
  </si>
  <si>
    <t xml:space="preserve">b（x 的係數）</t>
  </si>
  <si>
    <t xml:space="preserve">頂點 = −b/(2a)</t>
  </si>
  <si>
    <t xml:space="preserve">LINEST 回傳的係數順序和欄位相反：第 1 個是最後一欄（x²）的係數。</t>
  </si>
  <si>
    <t xml:space="preserve">LINEST 的 x 要是相鄰的兩欄，所以把選中的 5 點抄到這裡：x 一欄、x² 一欄。</t>
  </si>
  <si>
    <t xml:space="preserve">② 半高質心法（只用高於半高的點）</t>
  </si>
  <si>
    <t xml:space="preserve">質心 = Σ(x·S)/ΣS</t>
  </si>
  <si>
    <t xml:space="preserve">③ 對照（教師提供的 Python 值）</t>
  </si>
  <si>
    <t xml:space="preserve">頂點法</t>
  </si>
  <si>
    <t xml:space="preserve">半高質心</t>
  </si>
  <si>
    <t xml:space="preserve">兩法之差 (cm⁻¹)</t>
  </si>
  <si>
    <t xml:space="preserve">④ 你的兩個值和 Python 差多少？</t>
  </si>
  <si>
    <t xml:space="preserve">頂點法差</t>
  </si>
  <si>
    <t xml:space="preserve">質心法差</t>
  </si>
  <si>
    <t xml:space="preserve">想一想：兩種方法差了約 0.6 cm⁻¹。這 1 cm⁻¹ 是誤差嗎？還是「峰位」這個詞本來就不只一種定義？重點不是誰對，而是——校正燈線和量樣品時，必須用同一種定義。</t>
  </si>
  <si>
    <t xml:space="preserve">資料來源：qepro785_Si_back_face_100mW_1000ms_avg5_1.csv（2026-09-10 實測）。矽的真實拉曼位移是 520.7 cm⁻¹；這裡量到約 499 是因為這台的波長軸偏移＋軟體用標稱 785.000 nm——正是工作表 1 與 3 在處理的事。</t>
  </si>
  <si>
    <t xml:space="preserve">Step 5　矽當日常快檢：峰位會隨雷射功率往低波數跑（2026-09-10 實測）</t>
  </si>
  <si>
    <t xml:space="preserve">矽晶圓是最方便的日常檢查標準（真值 520.7 cm⁻¹）。但它會被雷射加熱——功率越高，峰位越低。所以每次快檢要固定同一個功率，而且不要用最大功率。</t>
  </si>
  <si>
    <t xml:space="preserve">功率 (mW)</t>
  </si>
  <si>
    <t xml:space="preserve">QEPro 峰位 (cm⁻¹)</t>
  </si>
  <si>
    <t xml:space="preserve">組內 SD</t>
  </si>
  <si>
    <t xml:space="preserve">Im2000 峰位 (cm⁻¹)</t>
  </si>
  <si>
    <t xml:space="preserve">斜率（每 100 mW 位移多少 cm⁻¹）</t>
  </si>
  <si>
    <t xml:space="preserve">外推到 0 mW（不受熱的峰位）</t>
  </si>
  <si>
    <t xml:space="preserve">位移量比組內 SD 大一個數量級 → 是真的熱效應，不是雜訊。</t>
  </si>
  <si>
    <t xml:space="preserve">今日快檢（把你今天量到的值填進黃格）</t>
  </si>
  <si>
    <t xml:space="preserve">矽真值 (cm⁻¹)</t>
  </si>
  <si>
    <t xml:space="preserve">今天量到的峰位（報告軸）</t>
  </si>
  <si>
    <t xml:space="preserve">今天用的功率 (mW)</t>
  </si>
  <si>
    <t xml:space="preserve">上次同功率的峰位</t>
  </si>
  <si>
    <t xml:space="preserve">與上次的差 (cm⁻¹)</t>
  </si>
  <si>
    <t xml:space="preserve">判定</t>
  </si>
  <si>
    <t xml:space="preserve">門檻 1 / 3 cm⁻¹ 是本課的建議值，不是通用標準：它來自本儀器組內 SD（≈0.05–0.6 cm⁻¹）與熱位移量（100 mW 內 ≈0.15 cm⁻¹）。換一台儀器要自己重新訂——先量十次同條件，用散布決定門檻。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</si>
</sst>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00"/>
    <numFmt numFmtId="166" formatCode="0.00"/>
    <numFmt numFmtId="167" formatCode="0.0"/>
    <numFmt numFmtId="168" formatCode="0"/>
    <numFmt numFmtId="169" formatCode="0.000"/>
    <numFmt numFmtId="170" formatCode="0.00000"/>
    <numFmt numFmtId="171" formatCode="\+0.00;\-0.00"/>
  </numFmts>
  <fonts count="23">
    <font>
      <sz val="11"/>
      <color theme="1"/>
      <name val="Noto Sans TC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3"/>
      <name val="Cambria"/>
      <family val="0"/>
      <charset val="1"/>
    </font>
    <font>
      <b val="true"/>
      <sz val="13"/>
      <name val="Noto Sans TC"/>
      <family val="2"/>
      <charset val="136"/>
    </font>
    <font>
      <sz val="11"/>
      <color theme="1"/>
      <name val="Calibri"/>
      <family val="2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Noto Sans TC"/>
      <family val="2"/>
      <charset val="136"/>
    </font>
    <font>
      <b val="true"/>
      <sz val="11"/>
      <name val="Noto Sans TC"/>
      <family val="2"/>
      <charset val="136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2"/>
      <color rgb="FF000000"/>
      <name val="Microsoft JhengHei"/>
      <family val="0"/>
      <charset val="1"/>
    </font>
    <font>
      <sz val="9"/>
      <color rgb="FF555555"/>
      <name val="Microsoft JhengHei"/>
      <family val="0"/>
      <charset val="1"/>
    </font>
    <font>
      <b val="true"/>
      <sz val="10"/>
      <color rgb="FFFFFFFF"/>
      <name val="Microsoft JhengHei"/>
      <family val="0"/>
      <charset val="1"/>
    </font>
    <font>
      <b val="true"/>
      <sz val="10"/>
      <color rgb="FF000000"/>
      <name val="Microsoft JhengHei"/>
      <family val="0"/>
      <charset val="1"/>
    </font>
    <font>
      <sz val="10"/>
      <color rgb="FF0000FF"/>
      <name val="Microsoft JhengHei"/>
      <family val="0"/>
      <charset val="1"/>
    </font>
    <font>
      <sz val="10"/>
      <name val="Microsoft JhengHei"/>
      <family val="0"/>
      <charset val="1"/>
    </font>
    <font>
      <sz val="10"/>
      <color rgb="FF000000"/>
      <name val="Microsoft JhengHei"/>
      <family val="0"/>
      <charset val="1"/>
    </font>
    <font>
      <b val="true"/>
      <sz val="11"/>
      <color rgb="FF1F3864"/>
      <name val="Microsoft JhengHei"/>
      <family val="0"/>
      <charset val="1"/>
    </font>
    <font>
      <b val="true"/>
      <sz val="11"/>
      <color rgb="FF0D9488"/>
      <name val="Microsoft JhengHei"/>
      <family val="0"/>
      <charset val="1"/>
    </font>
    <font>
      <b val="true"/>
      <sz val="11"/>
      <color rgb="FF000000"/>
      <name val="Microsoft JhengHei"/>
      <family val="0"/>
      <charset val="1"/>
    </font>
    <font>
      <b val="true"/>
      <sz val="11"/>
      <name val="Microsoft JhengHe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4F46E5"/>
        <bgColor rgb="FF333399"/>
      </patternFill>
    </fill>
    <fill>
      <patternFill patternType="solid">
        <fgColor rgb="FFFEF3C7"/>
        <bgColor rgb="FFFFFF99"/>
      </patternFill>
    </fill>
    <fill>
      <patternFill patternType="solid">
        <fgColor rgb="FFECFDF5"/>
        <bgColor rgb="FFEEF2FF"/>
      </patternFill>
    </fill>
    <fill>
      <patternFill patternType="solid">
        <fgColor rgb="FF1F3864"/>
        <bgColor rgb="FF333333"/>
      </patternFill>
    </fill>
    <fill>
      <patternFill patternType="solid">
        <fgColor rgb="FFFFFF99"/>
        <bgColor rgb="FFFEF3C7"/>
      </patternFill>
    </fill>
    <fill>
      <patternFill patternType="solid">
        <fgColor rgb="FFEEF2FF"/>
        <bgColor rgb="FFECFD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BFBFBF"/>
      <rgbColor rgb="FF808080"/>
      <rgbColor rgb="FF9999FF"/>
      <rgbColor rgb="FF993366"/>
      <rgbColor rgb="FFFEF3C7"/>
      <rgbColor rgb="FFECF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F"/>
      <rgbColor rgb="FFCCFFCC"/>
      <rgbColor rgb="FFFFFF99"/>
      <rgbColor rgb="FF99CCFF"/>
      <rgbColor rgb="FFFF99CC"/>
      <rgbColor rgb="FFCC99FF"/>
      <rgbColor rgb="FFFFCC99"/>
      <rgbColor rgb="FF4F46E5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734375" defaultRowHeight="15" customHeight="false" zeroHeight="false" outlineLevelRow="0" outlineLevelCol="0"/>
  <cols>
    <col collapsed="false" customWidth="true" hidden="false" outlineLevel="0" max="1" min="1" style="0" width="18.2"/>
    <col collapsed="false" customWidth="true" hidden="false" outlineLevel="0" max="2" min="2" style="0" width="9.1"/>
    <col collapsed="false" customWidth="true" hidden="false" outlineLevel="0" max="3" min="3" style="0" width="14.56"/>
    <col collapsed="false" customWidth="true" hidden="false" outlineLevel="0" max="5" min="4" style="0" width="16.38"/>
    <col collapsed="false" customWidth="true" hidden="false" outlineLevel="0" max="6" min="6" style="0" width="18.2"/>
    <col collapsed="false" customWidth="true" hidden="false" outlineLevel="0" max="7" min="7" style="0" width="2.73"/>
    <col collapsed="false" customWidth="true" hidden="false" outlineLevel="0" max="8" min="8" style="0" width="27.3"/>
    <col collapsed="false" customWidth="true" hidden="false" outlineLevel="0" max="9" min="9" style="0" width="12.74"/>
  </cols>
  <sheetData>
    <row r="1" customFormat="false" ht="17.4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0" t="n">
        <v>794.8176</v>
      </c>
      <c r="B5" s="4" t="s">
        <v>8</v>
      </c>
      <c r="C5" s="5" t="n">
        <v>793.6963</v>
      </c>
      <c r="D5" s="0" t="n">
        <f aca="false">C5-A5</f>
        <v>-1.12130000000002</v>
      </c>
      <c r="E5" s="0" t="n">
        <f aca="false">$I$6*C5+$I$7</f>
        <v>794.685353509116</v>
      </c>
      <c r="F5" s="0" t="n">
        <f aca="false">A5-E5</f>
        <v>0.132246490884199</v>
      </c>
      <c r="H5" s="6" t="s">
        <v>9</v>
      </c>
    </row>
    <row r="6" customFormat="false" ht="15" hidden="false" customHeight="false" outlineLevel="0" collapsed="false">
      <c r="A6" s="0" t="n">
        <v>801.4786</v>
      </c>
      <c r="B6" s="4" t="s">
        <v>8</v>
      </c>
      <c r="C6" s="5" t="n">
        <v>800.364</v>
      </c>
      <c r="D6" s="0" t="n">
        <f aca="false">C6-A6</f>
        <v>-1.1146</v>
      </c>
      <c r="E6" s="0" t="n">
        <f aca="false">$I$6*C6+$I$7</f>
        <v>801.34823872449</v>
      </c>
      <c r="F6" s="0" t="n">
        <f aca="false">A6-E6</f>
        <v>0.130361275510381</v>
      </c>
      <c r="H6" s="4" t="s">
        <v>10</v>
      </c>
      <c r="I6" s="7" t="n">
        <f aca="false">INDEX(LINEST($A$5:$A$16,$C$5:$C$16),1)</f>
        <v>0.999277894232464</v>
      </c>
    </row>
    <row r="7" customFormat="false" ht="15" hidden="false" customHeight="false" outlineLevel="0" collapsed="false">
      <c r="A7" s="0" t="n">
        <v>810.3693</v>
      </c>
      <c r="B7" s="4" t="s">
        <v>8</v>
      </c>
      <c r="C7" s="5" t="n">
        <v>809.7459</v>
      </c>
      <c r="D7" s="0" t="n">
        <f aca="false">C7-A7</f>
        <v>-0.623399999999947</v>
      </c>
      <c r="E7" s="0" t="n">
        <f aca="false">$I$6*C7+$I$7</f>
        <v>810.723364000389</v>
      </c>
      <c r="F7" s="0" t="n">
        <f aca="false">A7-E7</f>
        <v>-0.354064000389258</v>
      </c>
      <c r="H7" s="4" t="s">
        <v>11</v>
      </c>
      <c r="I7" s="7" t="n">
        <f aca="false">INDEX(LINEST($A$5:$A$16,$C$5:$C$16),2)</f>
        <v>1.56218618501805</v>
      </c>
    </row>
    <row r="8" customFormat="false" ht="15" hidden="false" customHeight="false" outlineLevel="0" collapsed="false">
      <c r="A8" s="0" t="n">
        <v>811.5311</v>
      </c>
      <c r="B8" s="4" t="s">
        <v>8</v>
      </c>
      <c r="C8" s="5" t="n">
        <v>810.4185</v>
      </c>
      <c r="D8" s="0" t="n">
        <f aca="false">C8-A8</f>
        <v>-1.11260000000004</v>
      </c>
      <c r="E8" s="0" t="n">
        <f aca="false">$I$6*C8+$I$7</f>
        <v>811.39547831205</v>
      </c>
      <c r="F8" s="0" t="n">
        <f aca="false">A8-E8</f>
        <v>0.135621687950106</v>
      </c>
    </row>
    <row r="9" customFormat="false" ht="15" hidden="false" customHeight="false" outlineLevel="0" collapsed="false">
      <c r="A9" s="0" t="n">
        <v>826.4522</v>
      </c>
      <c r="B9" s="4" t="s">
        <v>8</v>
      </c>
      <c r="C9" s="5" t="n">
        <v>825.5206</v>
      </c>
      <c r="D9" s="0" t="n">
        <f aca="false">C9-A9</f>
        <v>-0.931600000000003</v>
      </c>
      <c r="E9" s="0" t="n">
        <f aca="false">$I$6*C9+$I$7</f>
        <v>826.486672998538</v>
      </c>
      <c r="F9" s="0" t="n">
        <f aca="false">A9-E9</f>
        <v>-0.0344729985380354</v>
      </c>
      <c r="H9" s="0" t="s">
        <v>12</v>
      </c>
      <c r="I9" s="8" t="n">
        <f aca="false">AVERAGE(D5:D16)</f>
        <v>-0.943324999999997</v>
      </c>
    </row>
    <row r="10" customFormat="false" ht="15" hidden="false" customHeight="false" outlineLevel="0" collapsed="false">
      <c r="A10" s="0" t="n">
        <v>840.821</v>
      </c>
      <c r="B10" s="4" t="s">
        <v>8</v>
      </c>
      <c r="C10" s="5" t="n">
        <v>839.7989</v>
      </c>
      <c r="D10" s="0" t="n">
        <f aca="false">C10-A10</f>
        <v>-1.02210000000002</v>
      </c>
      <c r="E10" s="0" t="n">
        <f aca="false">$I$6*C10+$I$7</f>
        <v>840.754662555758</v>
      </c>
      <c r="F10" s="0" t="n">
        <f aca="false">A10-E10</f>
        <v>0.0663374442425493</v>
      </c>
      <c r="H10" s="0" t="s">
        <v>13</v>
      </c>
      <c r="I10" s="8" t="n">
        <f aca="false">STDEV(D5:D16)</f>
        <v>0.172441822205221</v>
      </c>
    </row>
    <row r="11" customFormat="false" ht="15" hidden="false" customHeight="false" outlineLevel="0" collapsed="false">
      <c r="A11" s="0" t="n">
        <v>842.4648</v>
      </c>
      <c r="B11" s="4" t="s">
        <v>8</v>
      </c>
      <c r="C11" s="5" t="n">
        <v>841.4733</v>
      </c>
      <c r="D11" s="0" t="n">
        <f aca="false">C11-A11</f>
        <v>-0.991499999999974</v>
      </c>
      <c r="E11" s="0" t="n">
        <f aca="false">$I$6*C11+$I$7</f>
        <v>842.42785346186</v>
      </c>
      <c r="F11" s="0" t="n">
        <f aca="false">A11-E11</f>
        <v>0.0369465381396594</v>
      </c>
      <c r="H11" s="0" t="s">
        <v>14</v>
      </c>
      <c r="I11" s="8" t="n">
        <f aca="false">SQRT(SUMSQ(F5:F16)/COUNT(F5:F16))</f>
        <v>0.159102275026741</v>
      </c>
    </row>
    <row r="12" customFormat="false" ht="15" hidden="false" customHeight="false" outlineLevel="0" collapsed="false">
      <c r="A12" s="0" t="n">
        <v>852.1442</v>
      </c>
      <c r="B12" s="4" t="s">
        <v>8</v>
      </c>
      <c r="C12" s="5" t="n">
        <v>851.2917</v>
      </c>
      <c r="D12" s="0" t="n">
        <f aca="false">C12-A12</f>
        <v>-0.852499999999964</v>
      </c>
      <c r="E12" s="0" t="n">
        <f aca="false">$I$6*C12+$I$7</f>
        <v>852.239163538592</v>
      </c>
      <c r="F12" s="0" t="n">
        <f aca="false">A12-E12</f>
        <v>-0.0949635385923102</v>
      </c>
    </row>
    <row r="13" customFormat="false" ht="15" hidden="false" customHeight="false" outlineLevel="0" collapsed="false">
      <c r="A13" s="0" t="n">
        <v>866.7944</v>
      </c>
      <c r="B13" s="4" t="s">
        <v>8</v>
      </c>
      <c r="C13" s="5" t="n">
        <v>866.1071</v>
      </c>
      <c r="D13" s="0" t="n">
        <f aca="false">C13-A13</f>
        <v>-0.68730000000005</v>
      </c>
      <c r="E13" s="0" t="n">
        <f aca="false">$I$6*C13+$I$7</f>
        <v>867.043865252804</v>
      </c>
      <c r="F13" s="0" t="n">
        <f aca="false">A13-E13</f>
        <v>-0.24946525280393</v>
      </c>
      <c r="H13" s="4" t="s">
        <v>15</v>
      </c>
      <c r="I13" s="8" t="n">
        <f aca="false">10000000*ABS(I9)/850^2</f>
        <v>13.056401384083</v>
      </c>
    </row>
    <row r="14" customFormat="false" ht="15" hidden="false" customHeight="false" outlineLevel="0" collapsed="false">
      <c r="A14" s="0" t="n">
        <v>912.2967</v>
      </c>
      <c r="B14" s="4" t="s">
        <v>8</v>
      </c>
      <c r="C14" s="5" t="n">
        <v>911.2511</v>
      </c>
      <c r="D14" s="0" t="n">
        <f aca="false">C14-A14</f>
        <v>-1.04560000000004</v>
      </c>
      <c r="E14" s="0" t="n">
        <f aca="false">$I$6*C14+$I$7</f>
        <v>912.155266510034</v>
      </c>
      <c r="F14" s="0" t="n">
        <f aca="false">A14-E14</f>
        <v>0.141433489965721</v>
      </c>
    </row>
    <row r="15" customFormat="false" ht="15" hidden="false" customHeight="false" outlineLevel="0" collapsed="false">
      <c r="A15" s="0" t="n">
        <v>922.4499</v>
      </c>
      <c r="B15" s="4" t="s">
        <v>8</v>
      </c>
      <c r="C15" s="5" t="n">
        <v>921.4002</v>
      </c>
      <c r="D15" s="0" t="n">
        <f aca="false">C15-A15</f>
        <v>-1.04969999999992</v>
      </c>
      <c r="E15" s="0" t="n">
        <f aca="false">$I$6*C15+$I$7</f>
        <v>922.297037786389</v>
      </c>
      <c r="F15" s="0" t="n">
        <f aca="false">A15-E15</f>
        <v>0.152862213611002</v>
      </c>
    </row>
    <row r="16" customFormat="false" ht="15" hidden="false" customHeight="false" outlineLevel="0" collapsed="false">
      <c r="A16" s="0" t="n">
        <v>1013.975</v>
      </c>
      <c r="B16" s="4" t="s">
        <v>16</v>
      </c>
      <c r="C16" s="5" t="n">
        <v>1013.2073</v>
      </c>
      <c r="D16" s="0" t="n">
        <f aca="false">C16-A16</f>
        <v>-0.767699999999991</v>
      </c>
      <c r="E16" s="0" t="n">
        <f aca="false">$I$6*C16+$I$7</f>
        <v>1014.03784334998</v>
      </c>
      <c r="F16" s="0" t="n">
        <f aca="false">A16-E16</f>
        <v>-0.0628433499781522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734375" defaultRowHeight="15" customHeight="false" zeroHeight="false" outlineLevelRow="0" outlineLevelCol="0"/>
  <cols>
    <col collapsed="false" customWidth="true" hidden="false" outlineLevel="0" max="1" min="1" style="0" width="20.01"/>
    <col collapsed="false" customWidth="true" hidden="false" outlineLevel="0" max="2" min="2" style="0" width="14.56"/>
    <col collapsed="false" customWidth="true" hidden="false" outlineLevel="0" max="3" min="3" style="0" width="27.3"/>
    <col collapsed="false" customWidth="true" hidden="false" outlineLevel="0" max="4" min="4" style="0" width="25.47"/>
    <col collapsed="false" customWidth="true" hidden="false" outlineLevel="0" max="5" min="5" style="0" width="27.3"/>
    <col collapsed="false" customWidth="true" hidden="false" outlineLevel="0" max="6" min="6" style="0" width="18.2"/>
    <col collapsed="false" customWidth="true" hidden="false" outlineLevel="0" max="7" min="7" style="0" width="20.01"/>
  </cols>
  <sheetData>
    <row r="1" customFormat="false" ht="17.45" hidden="false" customHeight="false" outlineLevel="0" collapsed="false">
      <c r="A1" s="1" t="s">
        <v>17</v>
      </c>
    </row>
    <row r="3" customFormat="false" ht="15" hidden="false" customHeight="false" outlineLevel="0" collapsed="false">
      <c r="A3" s="4" t="s">
        <v>18</v>
      </c>
      <c r="D3" s="5" t="n">
        <v>785</v>
      </c>
    </row>
    <row r="4" customFormat="false" ht="15" hidden="false" customHeight="false" outlineLevel="0" collapsed="false">
      <c r="A4" s="0" t="s">
        <v>19</v>
      </c>
      <c r="D4" s="9" t="n">
        <v>784.559</v>
      </c>
    </row>
    <row r="5" customFormat="false" ht="15" hidden="false" customHeight="false" outlineLevel="0" collapsed="false">
      <c r="A5" s="0" t="s">
        <v>20</v>
      </c>
      <c r="D5" s="8" t="n">
        <f aca="false">'1_燈校正'!I6</f>
        <v>0.999277894232464</v>
      </c>
      <c r="E5" s="8" t="n">
        <f aca="false">'1_燈校正'!I7</f>
        <v>1.56218618501805</v>
      </c>
    </row>
    <row r="7" customFormat="false" ht="27.7" hidden="false" customHeight="false" outlineLevel="0" collapsed="false">
      <c r="A7" s="3" t="s">
        <v>21</v>
      </c>
      <c r="B7" s="3" t="s">
        <v>22</v>
      </c>
      <c r="C7" s="3" t="s">
        <v>23</v>
      </c>
      <c r="D7" s="3" t="s">
        <v>24</v>
      </c>
      <c r="E7" s="3" t="s">
        <v>25</v>
      </c>
      <c r="F7" s="3" t="s">
        <v>26</v>
      </c>
      <c r="G7" s="3" t="s">
        <v>27</v>
      </c>
    </row>
    <row r="8" customFormat="false" ht="15" hidden="false" customHeight="false" outlineLevel="0" collapsed="false">
      <c r="A8" s="5" t="n">
        <v>595.83</v>
      </c>
      <c r="B8" s="0" t="n">
        <v>619</v>
      </c>
      <c r="C8" s="10" t="n">
        <f aca="false">1/(1/$D$3-A8*0.0000001)</f>
        <v>823.518129350349</v>
      </c>
      <c r="D8" s="10" t="n">
        <f aca="false">$D$5*C8+$E$5</f>
        <v>824.485648344493</v>
      </c>
      <c r="E8" s="10" t="n">
        <f aca="false">10000000*(1/$D$4-1/D8)</f>
        <v>617.240118011106</v>
      </c>
      <c r="F8" s="10" t="n">
        <f aca="false">A8-B8</f>
        <v>-23.17</v>
      </c>
      <c r="G8" s="10" t="n">
        <f aca="false">E8-B8</f>
        <v>-1.75988198889365</v>
      </c>
    </row>
    <row r="9" customFormat="false" ht="15" hidden="false" customHeight="false" outlineLevel="0" collapsed="false">
      <c r="A9" s="5" t="n">
        <v>774.14</v>
      </c>
      <c r="B9" s="0" t="n">
        <v>800</v>
      </c>
      <c r="C9" s="10" t="n">
        <f aca="false">1/(1/$D$3-A9*0.0000001)</f>
        <v>835.791011405183</v>
      </c>
      <c r="D9" s="10" t="n">
        <f aca="false">$D$5*C9+$E$5</f>
        <v>836.74966808041</v>
      </c>
      <c r="E9" s="10" t="n">
        <f aca="false">10000000*(1/$D$4-1/D9)</f>
        <v>795.008365755282</v>
      </c>
      <c r="F9" s="10" t="n">
        <f aca="false">A9-B9</f>
        <v>-25.86</v>
      </c>
      <c r="G9" s="10" t="n">
        <f aca="false">E9-B9</f>
        <v>-4.99163424471817</v>
      </c>
    </row>
    <row r="10" customFormat="false" ht="15" hidden="false" customHeight="false" outlineLevel="0" collapsed="false">
      <c r="A10" s="5" t="n">
        <v>981.03</v>
      </c>
      <c r="B10" s="0" t="n">
        <v>1001</v>
      </c>
      <c r="C10" s="10" t="n">
        <f aca="false">1/(1/$D$3-A10*0.0000001)</f>
        <v>850.497542958644</v>
      </c>
      <c r="D10" s="10" t="n">
        <f aca="false">$D$5*C10+$E$5</f>
        <v>851.445579962617</v>
      </c>
      <c r="E10" s="10" t="n">
        <f aca="false">10000000*(1/$D$4-1/D10)</f>
        <v>1001.28217805582</v>
      </c>
      <c r="F10" s="10" t="n">
        <f aca="false">A10-B10</f>
        <v>-19.97</v>
      </c>
      <c r="G10" s="10" t="n">
        <f aca="false">E10-B10</f>
        <v>0.282178055824943</v>
      </c>
    </row>
    <row r="11" customFormat="false" ht="15" hidden="false" customHeight="false" outlineLevel="0" collapsed="false">
      <c r="A11" s="5" t="n">
        <v>1007.28</v>
      </c>
      <c r="B11" s="0" t="n">
        <v>1026</v>
      </c>
      <c r="C11" s="10" t="n">
        <f aca="false">1/(1/$D$3-A11*0.0000001)</f>
        <v>852.400575019655</v>
      </c>
      <c r="D11" s="10" t="n">
        <f aca="false">$D$5*C11+$E$5</f>
        <v>853.3472378332</v>
      </c>
      <c r="E11" s="10" t="n">
        <f aca="false">10000000*(1/$D$4-1/D11)</f>
        <v>1027.45494890709</v>
      </c>
      <c r="F11" s="10" t="n">
        <f aca="false">A11-B11</f>
        <v>-18.72</v>
      </c>
      <c r="G11" s="10" t="n">
        <f aca="false">E11-B11</f>
        <v>1.45494890708505</v>
      </c>
    </row>
    <row r="12" customFormat="false" ht="15" hidden="false" customHeight="false" outlineLevel="0" collapsed="false">
      <c r="A12" s="5" t="n">
        <v>1112.1</v>
      </c>
      <c r="B12" s="0" t="n">
        <v>1132</v>
      </c>
      <c r="C12" s="10" t="n">
        <f aca="false">1/(1/$D$3-A12*0.0000001)</f>
        <v>860.085319368031</v>
      </c>
      <c r="D12" s="10" t="n">
        <f aca="false">$D$5*C12+$E$5</f>
        <v>861.02643298336</v>
      </c>
      <c r="E12" s="10" t="n">
        <f aca="false">10000000*(1/$D$4-1/D12)</f>
        <v>1131.96869947975</v>
      </c>
      <c r="F12" s="10" t="n">
        <f aca="false">A12-B12</f>
        <v>-19.9000000000001</v>
      </c>
      <c r="G12" s="10" t="n">
        <f aca="false">E12-B12</f>
        <v>-0.0313005202492604</v>
      </c>
    </row>
    <row r="13" customFormat="false" ht="15" hidden="false" customHeight="false" outlineLevel="0" collapsed="false">
      <c r="A13" s="5" t="n">
        <v>1159.18</v>
      </c>
      <c r="B13" s="0" t="n">
        <v>1178</v>
      </c>
      <c r="C13" s="10" t="n">
        <f aca="false">1/(1/$D$3-A13*0.0000001)</f>
        <v>863.582206981029</v>
      </c>
      <c r="D13" s="10" t="n">
        <f aca="false">$D$5*C13+$E$5</f>
        <v>864.520795473645</v>
      </c>
      <c r="E13" s="10" t="n">
        <f aca="false">10000000*(1/$D$4-1/D13)</f>
        <v>1178.91225998259</v>
      </c>
      <c r="F13" s="10" t="n">
        <f aca="false">A13-B13</f>
        <v>-18.8199999999999</v>
      </c>
      <c r="G13" s="10" t="n">
        <f aca="false">E13-B13</f>
        <v>0.912259982591195</v>
      </c>
    </row>
    <row r="14" customFormat="false" ht="15" hidden="false" customHeight="false" outlineLevel="0" collapsed="false">
      <c r="A14" s="5" t="n">
        <v>1269.58</v>
      </c>
      <c r="B14" s="0" t="n">
        <v>1290</v>
      </c>
      <c r="C14" s="10" t="n">
        <f aca="false">1/(1/$D$3-A14*0.0000001)</f>
        <v>871.894806346999</v>
      </c>
      <c r="D14" s="10" t="n">
        <f aca="false">$D$5*C14+$E$5</f>
        <v>872.827392263669</v>
      </c>
      <c r="E14" s="10" t="n">
        <f aca="false">10000000*(1/$D$4-1/D14)</f>
        <v>1288.99502211651</v>
      </c>
      <c r="F14" s="10" t="n">
        <f aca="false">A14-B14</f>
        <v>-20.4200000000001</v>
      </c>
      <c r="G14" s="10" t="n">
        <f aca="false">E14-B14</f>
        <v>-1.00497788349026</v>
      </c>
    </row>
    <row r="15" customFormat="false" ht="15" hidden="false" customHeight="false" outlineLevel="0" collapsed="false">
      <c r="A15" s="5" t="n">
        <v>1585.36</v>
      </c>
      <c r="B15" s="0" t="n">
        <v>1601</v>
      </c>
      <c r="C15" s="10" t="n">
        <f aca="false">1/(1/$D$3-A15*0.0000001)</f>
        <v>896.580071270463</v>
      </c>
      <c r="D15" s="10" t="n">
        <f aca="false">$D$5*C15+$E$5</f>
        <v>897.494831814959</v>
      </c>
      <c r="E15" s="10" t="n">
        <f aca="false">10000000*(1/$D$4-1/D15)</f>
        <v>1603.88856035757</v>
      </c>
      <c r="F15" s="10" t="n">
        <f aca="false">A15-B15</f>
        <v>-15.6400000000001</v>
      </c>
      <c r="G15" s="10" t="n">
        <f aca="false">E15-B15</f>
        <v>2.88856035757271</v>
      </c>
    </row>
    <row r="16" customFormat="false" ht="15" hidden="false" customHeight="false" outlineLevel="0" collapsed="false">
      <c r="A16" s="5" t="n">
        <v>1615.47</v>
      </c>
      <c r="B16" s="0" t="n">
        <v>1631</v>
      </c>
      <c r="C16" s="10" t="n">
        <f aca="false">1/(1/$D$3-A16*0.0000001)</f>
        <v>899.007032989281</v>
      </c>
      <c r="D16" s="10" t="n">
        <f aca="false">$D$5*C16+$E$5</f>
        <v>899.920041010721</v>
      </c>
      <c r="E16" s="10" t="n">
        <f aca="false">10000000*(1/$D$4-1/D16)</f>
        <v>1633.91565593479</v>
      </c>
      <c r="F16" s="10" t="n">
        <f aca="false">A16-B16</f>
        <v>-15.53</v>
      </c>
      <c r="G16" s="10" t="n">
        <f aca="false">E16-B16</f>
        <v>2.91565593478663</v>
      </c>
    </row>
    <row r="17" customFormat="false" ht="15" hidden="false" customHeight="false" outlineLevel="0" collapsed="false">
      <c r="A17" s="5" t="n">
        <v>422.58</v>
      </c>
      <c r="B17" s="0" t="n">
        <v>445</v>
      </c>
      <c r="C17" s="10" t="n">
        <f aca="false">1/(1/$D$3-A17*0.0000001)</f>
        <v>811.933901712578</v>
      </c>
      <c r="D17" s="10" t="n">
        <f aca="false">$D$5*C17+$E$5</f>
        <v>812.909785744311</v>
      </c>
      <c r="E17" s="10" t="n">
        <f aca="false">10000000*(1/$D$4-1/D17)</f>
        <v>444.525971299114</v>
      </c>
      <c r="F17" s="10" t="n">
        <f aca="false">A17-B17</f>
        <v>-22.42</v>
      </c>
      <c r="G17" s="10" t="n">
        <f aca="false">E17-B17</f>
        <v>-0.47402870088564</v>
      </c>
    </row>
    <row r="18" customFormat="false" ht="15" hidden="false" customHeight="false" outlineLevel="0" collapsed="false">
      <c r="A18" s="5" t="n">
        <v>461.31</v>
      </c>
      <c r="B18" s="0" t="n">
        <v>483</v>
      </c>
      <c r="C18" s="10" t="n">
        <f aca="false">1/(1/$D$3-A18*0.0000001)</f>
        <v>814.495179545164</v>
      </c>
      <c r="D18" s="10" t="n">
        <f aca="false">$D$5*C18+$E$5</f>
        <v>815.469214063402</v>
      </c>
      <c r="E18" s="10" t="n">
        <f aca="false">10000000*(1/$D$4-1/D18)</f>
        <v>483.135371006347</v>
      </c>
      <c r="F18" s="10" t="n">
        <f aca="false">A18-B18</f>
        <v>-21.69</v>
      </c>
      <c r="G18" s="10" t="n">
        <f aca="false">E18-B18</f>
        <v>0.135371006347157</v>
      </c>
    </row>
    <row r="19" customFormat="false" ht="15" hidden="false" customHeight="false" outlineLevel="0" collapsed="false">
      <c r="A19" s="5" t="n">
        <v>534.25</v>
      </c>
      <c r="B19" s="0" t="n">
        <v>555</v>
      </c>
      <c r="C19" s="10" t="n">
        <f aca="false">1/(1/$D$3-A19*0.0000001)</f>
        <v>819.362955739657</v>
      </c>
      <c r="D19" s="10" t="n">
        <f aca="false">$D$5*C19+$E$5</f>
        <v>820.33347520863</v>
      </c>
      <c r="E19" s="10" t="n">
        <f aca="false">10000000*(1/$D$4-1/D19)</f>
        <v>555.849512096302</v>
      </c>
      <c r="F19" s="10" t="n">
        <f aca="false">A19-B19</f>
        <v>-20.75</v>
      </c>
      <c r="G19" s="10" t="n">
        <f aca="false">E19-B19</f>
        <v>0.849512096301737</v>
      </c>
    </row>
    <row r="20" customFormat="false" ht="15" hidden="false" customHeight="false" outlineLevel="0" collapsed="false">
      <c r="A20" s="5" t="n">
        <v>622.76</v>
      </c>
      <c r="B20" s="0" t="n">
        <v>645</v>
      </c>
      <c r="C20" s="10" t="n">
        <f aca="false">1/(1/$D$3-A20*0.0000001)</f>
        <v>825.348533120143</v>
      </c>
      <c r="D20" s="10" t="n">
        <f aca="false">$D$5*C20+$E$5</f>
        <v>826.314730369168</v>
      </c>
      <c r="E20" s="10" t="n">
        <f aca="false">10000000*(1/$D$4-1/D20)</f>
        <v>644.087663478495</v>
      </c>
      <c r="F20" s="10" t="n">
        <f aca="false">A20-B20</f>
        <v>-22.24</v>
      </c>
      <c r="G20" s="10" t="n">
        <f aca="false">E20-B20</f>
        <v>-0.912336521504926</v>
      </c>
    </row>
    <row r="21" customFormat="false" ht="15" hidden="false" customHeight="false" outlineLevel="0" collapsed="false">
      <c r="A21" s="5" t="n">
        <v>719.87</v>
      </c>
      <c r="B21" s="0" t="n">
        <v>745</v>
      </c>
      <c r="C21" s="10" t="n">
        <f aca="false">1/(1/$D$3-A21*0.0000001)</f>
        <v>832.01711670128</v>
      </c>
      <c r="D21" s="10" t="n">
        <f aca="false">$D$5*C21+$E$5</f>
        <v>832.97849852764</v>
      </c>
      <c r="E21" s="10" t="n">
        <f aca="false">10000000*(1/$D$4-1/D21)</f>
        <v>740.902204956451</v>
      </c>
      <c r="F21" s="10" t="n">
        <f aca="false">A21-B21</f>
        <v>-25.13</v>
      </c>
      <c r="G21" s="10" t="n">
        <f aca="false">E21-B21</f>
        <v>-4.09779504354856</v>
      </c>
    </row>
    <row r="22" customFormat="false" ht="15" hidden="false" customHeight="false" outlineLevel="0" collapsed="false">
      <c r="A22" s="5" t="n">
        <v>907.28</v>
      </c>
      <c r="B22" s="0" t="n">
        <v>926</v>
      </c>
      <c r="C22" s="10" t="n">
        <f aca="false">1/(1/$D$3-A22*0.0000001)</f>
        <v>845.196118445978</v>
      </c>
      <c r="D22" s="10" t="n">
        <f aca="false">$D$5*C22+$E$5</f>
        <v>846.147983639167</v>
      </c>
      <c r="E22" s="10" t="n">
        <f aca="false">10000000*(1/$D$4-1/D22)</f>
        <v>927.75030261848</v>
      </c>
      <c r="F22" s="10" t="n">
        <f aca="false">A22-B22</f>
        <v>-18.72</v>
      </c>
      <c r="G22" s="10" t="n">
        <f aca="false">E22-B22</f>
        <v>1.75030261847951</v>
      </c>
    </row>
    <row r="23" customFormat="false" ht="15" hidden="false" customHeight="false" outlineLevel="0" collapsed="false">
      <c r="A23" s="5" t="n">
        <v>1002.15</v>
      </c>
      <c r="B23" s="0" t="n">
        <v>1027</v>
      </c>
      <c r="C23" s="10" t="n">
        <f aca="false">1/(1/$D$3-A23*0.0000001)</f>
        <v>852.027998942509</v>
      </c>
      <c r="D23" s="10" t="n">
        <f aca="false">$D$5*C23+$E$5</f>
        <v>852.974930795388</v>
      </c>
      <c r="E23" s="10" t="n">
        <f aca="false">10000000*(1/$D$4-1/D23)</f>
        <v>1022.34002483223</v>
      </c>
      <c r="F23" s="10" t="n">
        <f aca="false">A23-B23</f>
        <v>-24.85</v>
      </c>
      <c r="G23" s="10" t="n">
        <f aca="false">E23-B23</f>
        <v>-4.65997516777293</v>
      </c>
    </row>
    <row r="24" customFormat="false" ht="15" hidden="false" customHeight="false" outlineLevel="0" collapsed="false">
      <c r="A24" s="5" t="n">
        <v>1051.69</v>
      </c>
      <c r="B24" s="0" t="n">
        <v>1071</v>
      </c>
      <c r="C24" s="10" t="n">
        <f aca="false">1/(1/$D$3-A24*0.0000001)</f>
        <v>855.639608128613</v>
      </c>
      <c r="D24" s="10" t="n">
        <f aca="false">$D$5*C24+$E$5</f>
        <v>856.583932017669</v>
      </c>
      <c r="E24" s="10" t="n">
        <f aca="false">10000000*(1/$D$4-1/D24)</f>
        <v>1071.73478013233</v>
      </c>
      <c r="F24" s="10" t="n">
        <f aca="false">A24-B24</f>
        <v>-19.3099999999999</v>
      </c>
      <c r="G24" s="10" t="n">
        <f aca="false">E24-B24</f>
        <v>0.734780132328524</v>
      </c>
    </row>
    <row r="25" customFormat="false" ht="15" hidden="false" customHeight="false" outlineLevel="0" collapsed="false">
      <c r="A25" s="5" t="n">
        <v>1223.21</v>
      </c>
      <c r="B25" s="0" t="n">
        <v>1240</v>
      </c>
      <c r="C25" s="10" t="n">
        <f aca="false">1/(1/$D$3-A25*0.0000001)</f>
        <v>868.383950687119</v>
      </c>
      <c r="D25" s="10" t="n">
        <f aca="false">$D$5*C25+$E$5</f>
        <v>869.31907181291</v>
      </c>
      <c r="E25" s="10" t="n">
        <f aca="false">10000000*(1/$D$4-1/D25)</f>
        <v>1242.75780577345</v>
      </c>
      <c r="F25" s="10" t="n">
        <f aca="false">A25-B25</f>
        <v>-16.79</v>
      </c>
      <c r="G25" s="10" t="n">
        <f aca="false">E25-B25</f>
        <v>2.75780577345472</v>
      </c>
    </row>
    <row r="26" customFormat="false" ht="15" hidden="false" customHeight="false" outlineLevel="0" collapsed="false">
      <c r="A26" s="5" t="n">
        <v>1265.84</v>
      </c>
      <c r="B26" s="0" t="n">
        <v>1287</v>
      </c>
      <c r="C26" s="10" t="n">
        <f aca="false">1/(1/$D$3-A26*0.0000001)</f>
        <v>871.610584021728</v>
      </c>
      <c r="D26" s="10" t="n">
        <f aca="false">$D$5*C26+$E$5</f>
        <v>872.543375176978</v>
      </c>
      <c r="E26" s="10" t="n">
        <f aca="false">10000000*(1/$D$4-1/D26)</f>
        <v>1285.26570705251</v>
      </c>
      <c r="F26" s="10" t="n">
        <f aca="false">A26-B26</f>
        <v>-21.1600000000001</v>
      </c>
      <c r="G26" s="10" t="n">
        <f aca="false">E26-B26</f>
        <v>-1.73429294749258</v>
      </c>
    </row>
    <row r="27" customFormat="false" ht="15" hidden="false" customHeight="false" outlineLevel="0" collapsed="false">
      <c r="A27" s="5" t="n">
        <v>1309.01</v>
      </c>
      <c r="B27" s="0" t="n">
        <v>1328</v>
      </c>
      <c r="C27" s="10" t="n">
        <f aca="false">1/(1/$D$3-A27*0.0000001)</f>
        <v>874.902617626714</v>
      </c>
      <c r="D27" s="10" t="n">
        <f aca="false">$D$5*C27+$E$5</f>
        <v>875.833031585511</v>
      </c>
      <c r="E27" s="10" t="n">
        <f aca="false">10000000*(1/$D$4-1/D27)</f>
        <v>1328.31263805184</v>
      </c>
      <c r="F27" s="10" t="n">
        <f aca="false">A27-B27</f>
        <v>-18.99</v>
      </c>
      <c r="G27" s="10" t="n">
        <f aca="false">E27-B27</f>
        <v>0.312638051837894</v>
      </c>
    </row>
    <row r="28" customFormat="false" ht="15" hidden="false" customHeight="false" outlineLevel="0" collapsed="false">
      <c r="A28" s="5" t="n">
        <v>1341.27</v>
      </c>
      <c r="B28" s="0" t="n">
        <v>1360</v>
      </c>
      <c r="C28" s="10" t="n">
        <f aca="false">1/(1/$D$3-A28*0.0000001)</f>
        <v>877.378963462369</v>
      </c>
      <c r="D28" s="10" t="n">
        <f aca="false">$D$5*C28+$E$5</f>
        <v>878.307589237556</v>
      </c>
      <c r="E28" s="10" t="n">
        <f aca="false">10000000*(1/$D$4-1/D28)</f>
        <v>1360.48104992376</v>
      </c>
      <c r="F28" s="10" t="n">
        <f aca="false">A28-B28</f>
        <v>-18.73</v>
      </c>
      <c r="G28" s="10" t="n">
        <f aca="false">E28-B28</f>
        <v>0.481049923756245</v>
      </c>
    </row>
    <row r="29" customFormat="false" ht="15" hidden="false" customHeight="false" outlineLevel="0" collapsed="false">
      <c r="A29" s="5" t="n">
        <v>1580.73</v>
      </c>
      <c r="B29" s="0" t="n">
        <v>1600</v>
      </c>
      <c r="C29" s="10" t="n">
        <f aca="false">1/(1/$D$3-A29*0.0000001)</f>
        <v>896.208040460014</v>
      </c>
      <c r="D29" s="10" t="n">
        <f aca="false">$D$5*C29+$E$5</f>
        <v>897.123069650104</v>
      </c>
      <c r="E29" s="10" t="n">
        <f aca="false">10000000*(1/$D$4-1/D29)</f>
        <v>1599.27133356262</v>
      </c>
      <c r="F29" s="10" t="n">
        <f aca="false">A29-B29</f>
        <v>-19.27</v>
      </c>
      <c r="G29" s="10" t="n">
        <f aca="false">E29-B29</f>
        <v>-0.728666437381662</v>
      </c>
    </row>
    <row r="30" customFormat="false" ht="15" hidden="false" customHeight="false" outlineLevel="0" collapsed="false">
      <c r="A30" s="5" t="n">
        <v>1638.63</v>
      </c>
      <c r="B30" s="0" t="n">
        <v>1655</v>
      </c>
      <c r="C30" s="10" t="n">
        <f aca="false">1/(1/$D$3-A30*0.0000001)</f>
        <v>900.882761246289</v>
      </c>
      <c r="D30" s="10" t="n">
        <f aca="false">$D$5*C30+$E$5</f>
        <v>901.794414793537</v>
      </c>
      <c r="E30" s="10" t="n">
        <f aca="false">10000000*(1/$D$4-1/D30)</f>
        <v>1657.01207954498</v>
      </c>
      <c r="F30" s="10" t="n">
        <f aca="false">A30-B30</f>
        <v>-16.3699999999999</v>
      </c>
      <c r="G30" s="10" t="n">
        <f aca="false">E30-B30</f>
        <v>2.01207954498113</v>
      </c>
    </row>
    <row r="31" customFormat="false" ht="15" hidden="false" customHeight="false" outlineLevel="0" collapsed="false">
      <c r="A31" s="5" t="n">
        <v>1679.79</v>
      </c>
      <c r="B31" s="0" t="n">
        <v>1700</v>
      </c>
      <c r="C31" s="10" t="n">
        <f aca="false">1/(1/$D$3-A31*0.0000001)</f>
        <v>904.235697454877</v>
      </c>
      <c r="D31" s="10" t="n">
        <f aca="false">$D$5*C31+$E$5</f>
        <v>905.14492982755</v>
      </c>
      <c r="E31" s="10" t="n">
        <f aca="false">10000000*(1/$D$4-1/D31)</f>
        <v>1698.05950347857</v>
      </c>
      <c r="F31" s="10" t="n">
        <f aca="false">A31-B31</f>
        <v>-20.21</v>
      </c>
      <c r="G31" s="10" t="n">
        <f aca="false">E31-B31</f>
        <v>-1.94049652143076</v>
      </c>
    </row>
    <row r="32" customFormat="false" ht="15" hidden="false" customHeight="false" outlineLevel="0" collapsed="false">
      <c r="A32" s="5" t="n">
        <v>2944.11</v>
      </c>
      <c r="B32" s="0" t="n">
        <v>2953</v>
      </c>
      <c r="C32" s="10" t="n">
        <f aca="false">1/(1/$D$3-A32*0.0000001)</f>
        <v>1020.95578069487</v>
      </c>
      <c r="D32" s="10" t="n">
        <f aca="false">$D$5*C32+$E$5</f>
        <v>1021.78072882225</v>
      </c>
      <c r="E32" s="10" t="n">
        <f aca="false">10000000*(1/$D$4-1/D32)</f>
        <v>2959.17841474183</v>
      </c>
      <c r="F32" s="10" t="n">
        <f aca="false">A32-B32</f>
        <v>-8.88999999999987</v>
      </c>
      <c r="G32" s="10" t="n">
        <f aca="false">E32-B32</f>
        <v>6.17841474182569</v>
      </c>
    </row>
    <row r="34" customFormat="false" ht="15" hidden="false" customHeight="false" outlineLevel="0" collapsed="false">
      <c r="A34" s="6" t="s">
        <v>28</v>
      </c>
      <c r="F34" s="11" t="n">
        <f aca="false">AVERAGE(F8:F32)</f>
        <v>-19.742</v>
      </c>
      <c r="G34" s="11" t="n">
        <f aca="false">SQRT(SUMSQ(F8:F32)/COUNT(F8:F32))</f>
        <v>20.0462588030785</v>
      </c>
    </row>
    <row r="35" customFormat="false" ht="15" hidden="false" customHeight="false" outlineLevel="0" collapsed="false">
      <c r="A35" s="6" t="s">
        <v>29</v>
      </c>
      <c r="F35" s="11" t="n">
        <f aca="false">AVERAGE(G8:G32)</f>
        <v>0.0532068459921902</v>
      </c>
      <c r="G35" s="11" t="n">
        <f aca="false">SQRT(SUMSQ(G8:G32)/COUNT(G8:G32))</f>
        <v>2.45166138450632</v>
      </c>
    </row>
    <row r="38" customFormat="false" ht="15" hidden="false" customHeight="false" outlineLevel="0" collapsed="false">
      <c r="A38" s="6" t="s">
        <v>30</v>
      </c>
    </row>
    <row r="39" customFormat="false" ht="27.1" hidden="false" customHeight="false" outlineLevel="0" collapsed="false">
      <c r="A39" s="3" t="s">
        <v>31</v>
      </c>
      <c r="B39" s="3" t="s">
        <v>32</v>
      </c>
    </row>
    <row r="40" customFormat="false" ht="15" hidden="false" customHeight="false" outlineLevel="0" collapsed="false">
      <c r="A40" s="10" t="n">
        <v>784.2</v>
      </c>
      <c r="B40" s="10" t="n">
        <f aca="false">SQRT(SUMPRODUCT((10000000*(1/A40-1/$D$8:$D$32)-$B$8:$B$32)^2)/COUNT($B$8:$B$32))</f>
        <v>6.3780069808586</v>
      </c>
    </row>
    <row r="41" customFormat="false" ht="15" hidden="false" customHeight="false" outlineLevel="0" collapsed="false">
      <c r="A41" s="10" t="n">
        <v>784.25</v>
      </c>
      <c r="B41" s="10" t="n">
        <f aca="false">SQRT(SUMPRODUCT((10000000*(1/A41-1/$D$8:$D$32)-$B$8:$B$32)^2)/COUNT($B$8:$B$32))</f>
        <v>5.63610938567029</v>
      </c>
    </row>
    <row r="42" customFormat="false" ht="15" hidden="false" customHeight="false" outlineLevel="0" collapsed="false">
      <c r="A42" s="10" t="n">
        <v>784.3</v>
      </c>
      <c r="B42" s="10" t="n">
        <f aca="false">SQRT(SUMPRODUCT((10000000*(1/A42-1/$D$8:$D$32)-$B$8:$B$32)^2)/COUNT($B$8:$B$32))</f>
        <v>4.91683790725462</v>
      </c>
    </row>
    <row r="43" customFormat="false" ht="15" hidden="false" customHeight="false" outlineLevel="0" collapsed="false">
      <c r="A43" s="10" t="n">
        <v>784.35</v>
      </c>
      <c r="B43" s="10" t="n">
        <f aca="false">SQRT(SUMPRODUCT((10000000*(1/A43-1/$D$8:$D$32)-$B$8:$B$32)^2)/COUNT($B$8:$B$32))</f>
        <v>4.23168587288395</v>
      </c>
    </row>
    <row r="44" customFormat="false" ht="15" hidden="false" customHeight="false" outlineLevel="0" collapsed="false">
      <c r="A44" s="10" t="n">
        <v>784.4</v>
      </c>
      <c r="B44" s="10" t="n">
        <f aca="false">SQRT(SUMPRODUCT((10000000*(1/A44-1/$D$8:$D$32)-$B$8:$B$32)^2)/COUNT($B$8:$B$32))</f>
        <v>3.60011589318237</v>
      </c>
    </row>
    <row r="45" customFormat="false" ht="15" hidden="false" customHeight="false" outlineLevel="0" collapsed="false">
      <c r="A45" s="10" t="n">
        <v>784.45</v>
      </c>
      <c r="B45" s="10" t="n">
        <f aca="false">SQRT(SUMPRODUCT((10000000*(1/A45-1/$D$8:$D$32)-$B$8:$B$32)^2)/COUNT($B$8:$B$32))</f>
        <v>3.05545365332178</v>
      </c>
    </row>
    <row r="46" customFormat="false" ht="15" hidden="false" customHeight="false" outlineLevel="0" collapsed="false">
      <c r="A46" s="10" t="n">
        <v>784.5</v>
      </c>
      <c r="B46" s="10" t="n">
        <f aca="false">SQRT(SUMPRODUCT((10000000*(1/A46-1/$D$8:$D$32)-$B$8:$B$32)^2)/COUNT($B$8:$B$32))</f>
        <v>2.65170660867029</v>
      </c>
    </row>
    <row r="47" customFormat="false" ht="15" hidden="false" customHeight="false" outlineLevel="0" collapsed="false">
      <c r="A47" s="10" t="n">
        <v>784.55</v>
      </c>
      <c r="B47" s="10" t="n">
        <f aca="false">SQRT(SUMPRODUCT((10000000*(1/A47-1/$D$8:$D$32)-$B$8:$B$32)^2)/COUNT($B$8:$B$32))</f>
        <v>2.45918324489616</v>
      </c>
    </row>
    <row r="48" customFormat="false" ht="15" hidden="false" customHeight="false" outlineLevel="0" collapsed="false">
      <c r="A48" s="10" t="n">
        <v>784.6</v>
      </c>
      <c r="B48" s="10" t="n">
        <f aca="false">SQRT(SUMPRODUCT((10000000*(1/A48-1/$D$8:$D$32)-$B$8:$B$32)^2)/COUNT($B$8:$B$32))</f>
        <v>2.5265381762872</v>
      </c>
    </row>
    <row r="49" customFormat="false" ht="15" hidden="false" customHeight="false" outlineLevel="0" collapsed="false">
      <c r="A49" s="10" t="n">
        <v>784.65</v>
      </c>
      <c r="B49" s="10" t="n">
        <f aca="false">SQRT(SUMPRODUCT((10000000*(1/A49-1/$D$8:$D$32)-$B$8:$B$32)^2)/COUNT($B$8:$B$32))</f>
        <v>2.83522171131465</v>
      </c>
    </row>
    <row r="50" customFormat="false" ht="15" hidden="false" customHeight="false" outlineLevel="0" collapsed="false">
      <c r="A50" s="10" t="n">
        <v>784.7</v>
      </c>
      <c r="B50" s="10" t="n">
        <f aca="false">SQRT(SUMPRODUCT((10000000*(1/A50-1/$D$8:$D$32)-$B$8:$B$32)^2)/COUNT($B$8:$B$32))</f>
        <v>3.31848442126349</v>
      </c>
    </row>
    <row r="51" customFormat="false" ht="15" hidden="false" customHeight="false" outlineLevel="0" collapsed="false">
      <c r="A51" s="10" t="n">
        <v>784.75</v>
      </c>
      <c r="B51" s="10" t="n">
        <f aca="false">SQRT(SUMPRODUCT((10000000*(1/A51-1/$D$8:$D$32)-$B$8:$B$32)^2)/COUNT($B$8:$B$32))</f>
        <v>3.91209165134963</v>
      </c>
    </row>
    <row r="52" customFormat="false" ht="15" hidden="false" customHeight="false" outlineLevel="0" collapsed="false">
      <c r="A52" s="10" t="n">
        <v>784.8</v>
      </c>
      <c r="B52" s="10" t="n">
        <f aca="false">SQRT(SUMPRODUCT((10000000*(1/A52-1/$D$8:$D$32)-$B$8:$B$32)^2)/COUNT($B$8:$B$32))</f>
        <v>4.57322040524988</v>
      </c>
    </row>
    <row r="53" customFormat="false" ht="15" hidden="false" customHeight="false" outlineLevel="0" collapsed="false">
      <c r="A53" s="10" t="n">
        <v>784.85</v>
      </c>
      <c r="B53" s="10" t="n">
        <f aca="false">SQRT(SUMPRODUCT((10000000*(1/A53-1/$D$8:$D$32)-$B$8:$B$32)^2)/COUNT($B$8:$B$32))</f>
        <v>5.27650323847314</v>
      </c>
    </row>
    <row r="54" customFormat="false" ht="15" hidden="false" customHeight="false" outlineLevel="0" collapsed="false">
      <c r="A54" s="10" t="n">
        <v>784.9</v>
      </c>
      <c r="B54" s="10" t="n">
        <f aca="false">SQRT(SUMPRODUCT((10000000*(1/A54-1/$D$8:$D$32)-$B$8:$B$32)^2)/COUNT($B$8:$B$32))</f>
        <v>6.00711096493985</v>
      </c>
    </row>
    <row r="55" customFormat="false" ht="15" hidden="false" customHeight="false" outlineLevel="0" collapsed="false">
      <c r="A55" s="10" t="n">
        <v>784.95</v>
      </c>
      <c r="B55" s="10" t="n">
        <f aca="false">SQRT(SUMPRODUCT((10000000*(1/A55-1/$D$8:$D$32)-$B$8:$B$32)^2)/COUNT($B$8:$B$32))</f>
        <v>6.75614746957638</v>
      </c>
    </row>
    <row r="56" customFormat="false" ht="15" hidden="false" customHeight="false" outlineLevel="0" collapsed="false">
      <c r="A56" s="10" t="n">
        <v>785</v>
      </c>
      <c r="B56" s="10" t="n">
        <f aca="false">SQRT(SUMPRODUCT((10000000*(1/A56-1/$D$8:$D$32)-$B$8:$B$32)^2)/COUNT($B$8:$B$32))</f>
        <v>7.51807306906735</v>
      </c>
    </row>
    <row r="57" customFormat="false" ht="15" hidden="false" customHeight="false" outlineLevel="0" collapsed="false">
      <c r="A57" s="6" t="s">
        <v>33</v>
      </c>
      <c r="B57" s="11" t="n">
        <f aca="false">INDEX(A40:A56,MATCH(MIN(B40:B56),B40:B56,0))</f>
        <v>784.55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734375" defaultRowHeight="15" customHeight="false" zeroHeight="false" outlineLevelRow="0" outlineLevelCol="0"/>
  <cols>
    <col collapsed="false" customWidth="true" hidden="false" outlineLevel="0" max="1" min="1" style="0" width="20.01"/>
    <col collapsed="false" customWidth="true" hidden="false" outlineLevel="0" max="2" min="2" style="0" width="27.3"/>
    <col collapsed="false" customWidth="true" hidden="false" outlineLevel="0" max="3" min="3" style="0" width="25.47"/>
    <col collapsed="false" customWidth="true" hidden="false" outlineLevel="0" max="4" min="4" style="0" width="23.66"/>
    <col collapsed="false" customWidth="true" hidden="false" outlineLevel="0" max="5" min="5" style="0" width="12.74"/>
    <col collapsed="false" customWidth="true" hidden="false" outlineLevel="0" max="6" min="6" style="0" width="2.73"/>
    <col collapsed="false" customWidth="true" hidden="false" outlineLevel="0" max="7" min="7" style="0" width="54.59"/>
  </cols>
  <sheetData>
    <row r="1" customFormat="false" ht="17.45" hidden="false" customHeight="false" outlineLevel="0" collapsed="false">
      <c r="A1" s="1" t="s">
        <v>34</v>
      </c>
    </row>
    <row r="3" customFormat="false" ht="15" hidden="false" customHeight="false" outlineLevel="0" collapsed="false">
      <c r="A3" s="0" t="s">
        <v>35</v>
      </c>
      <c r="D3" s="5" t="n">
        <v>-0.943</v>
      </c>
    </row>
    <row r="4" customFormat="false" ht="15" hidden="false" customHeight="false" outlineLevel="0" collapsed="false">
      <c r="A4" s="0" t="s">
        <v>36</v>
      </c>
      <c r="D4" s="5" t="n">
        <v>784.559</v>
      </c>
    </row>
    <row r="5" customFormat="false" ht="15" hidden="false" customHeight="false" outlineLevel="0" collapsed="false">
      <c r="A5" s="0" t="s">
        <v>37</v>
      </c>
      <c r="D5" s="5" t="n">
        <v>785</v>
      </c>
    </row>
    <row r="7" customFormat="false" ht="27.1" hidden="false" customHeight="false" outlineLevel="0" collapsed="false">
      <c r="A7" s="3" t="s">
        <v>38</v>
      </c>
      <c r="B7" s="3" t="s">
        <v>39</v>
      </c>
      <c r="C7" s="3" t="s">
        <v>40</v>
      </c>
      <c r="D7" s="3" t="s">
        <v>41</v>
      </c>
      <c r="E7" s="3" t="s">
        <v>42</v>
      </c>
    </row>
    <row r="8" customFormat="false" ht="15" hidden="false" customHeight="false" outlineLevel="0" collapsed="false">
      <c r="A8" s="0" t="n">
        <v>200</v>
      </c>
      <c r="B8" s="10" t="n">
        <f aca="false">1/(1/$D$4-A8*0.0000001)</f>
        <v>797.065904580638</v>
      </c>
      <c r="C8" s="10" t="n">
        <f aca="false">10000000*(1/$D$4-1/(B8+$D$3))-A8</f>
        <v>-14.8606341263921</v>
      </c>
      <c r="D8" s="10" t="n">
        <f aca="false">10000000*(1/$D$5-1/B8)-A8</f>
        <v>-7.16049958627025</v>
      </c>
      <c r="E8" s="10" t="n">
        <f aca="false">10000000*(1/$D$5-1/(B8+$D$3))-A8</f>
        <v>-22.0211337126629</v>
      </c>
      <c r="G8" s="6" t="s">
        <v>43</v>
      </c>
    </row>
    <row r="9" customFormat="false" ht="15" hidden="false" customHeight="false" outlineLevel="0" collapsed="false">
      <c r="A9" s="0" t="n">
        <v>300</v>
      </c>
      <c r="B9" s="10" t="n">
        <f aca="false">1/(1/$D$4-A9*0.0000001)</f>
        <v>803.470090727328</v>
      </c>
      <c r="C9" s="10" t="n">
        <f aca="false">10000000*(1/$D$4-1/(B9+$D$3))-A9</f>
        <v>-14.6245420749297</v>
      </c>
      <c r="D9" s="10" t="n">
        <f aca="false">10000000*(1/$D$5-1/B9)-A9</f>
        <v>-7.16049958626996</v>
      </c>
      <c r="E9" s="10" t="n">
        <f aca="false">10000000*(1/$D$5-1/(B9+$D$3))-A9</f>
        <v>-21.7850416612005</v>
      </c>
      <c r="G9" s="0" t="s">
        <v>44</v>
      </c>
    </row>
    <row r="10" customFormat="false" ht="15" hidden="false" customHeight="false" outlineLevel="0" collapsed="false">
      <c r="A10" s="0" t="n">
        <v>400</v>
      </c>
      <c r="B10" s="10" t="n">
        <f aca="false">1/(1/$D$4-A10*0.0000001)</f>
        <v>809.978021874555</v>
      </c>
      <c r="C10" s="10" t="n">
        <f aca="false">10000000*(1/$D$4-1/(B10+$D$3))-A10</f>
        <v>-14.3903426796509</v>
      </c>
      <c r="D10" s="10" t="n">
        <f aca="false">10000000*(1/$D$5-1/B10)-A10</f>
        <v>-7.1604995862719</v>
      </c>
      <c r="E10" s="10" t="n">
        <f aca="false">10000000*(1/$D$5-1/(B10+$D$3))-A10</f>
        <v>-21.5508422659217</v>
      </c>
      <c r="G10" s="0" t="s">
        <v>45</v>
      </c>
    </row>
    <row r="11" customFormat="false" ht="15" hidden="false" customHeight="false" outlineLevel="0" collapsed="false">
      <c r="A11" s="0" t="n">
        <v>500</v>
      </c>
      <c r="B11" s="10" t="n">
        <f aca="false">1/(1/$D$4-A11*0.0000001)</f>
        <v>816.592239543188</v>
      </c>
      <c r="C11" s="10" t="n">
        <f aca="false">10000000*(1/$D$4-1/(B11+$D$3))-A11</f>
        <v>-14.1580358869464</v>
      </c>
      <c r="D11" s="10" t="n">
        <f aca="false">10000000*(1/$D$5-1/B11)-A11</f>
        <v>-7.16049958627161</v>
      </c>
      <c r="E11" s="10" t="n">
        <f aca="false">10000000*(1/$D$5-1/(B11+$D$3))-A11</f>
        <v>-21.3185354732172</v>
      </c>
      <c r="G11" s="0" t="s">
        <v>46</v>
      </c>
    </row>
    <row r="12" customFormat="false" ht="15" hidden="false" customHeight="false" outlineLevel="0" collapsed="false">
      <c r="A12" s="0" t="n">
        <v>600</v>
      </c>
      <c r="B12" s="10" t="n">
        <f aca="false">1/(1/$D$4-A12*0.0000001)</f>
        <v>823.315368953025</v>
      </c>
      <c r="C12" s="10" t="n">
        <f aca="false">10000000*(1/$D$4-1/(B12+$D$3))-A12</f>
        <v>-13.9276216432153</v>
      </c>
      <c r="D12" s="10" t="n">
        <f aca="false">10000000*(1/$D$5-1/B12)-A12</f>
        <v>-7.16049958627139</v>
      </c>
      <c r="E12" s="10" t="n">
        <f aca="false">10000000*(1/$D$5-1/(B12+$D$3))-A12</f>
        <v>-21.0881212294861</v>
      </c>
    </row>
    <row r="13" customFormat="false" ht="15" hidden="false" customHeight="false" outlineLevel="0" collapsed="false">
      <c r="A13" s="0" t="n">
        <v>700</v>
      </c>
      <c r="B13" s="10" t="n">
        <f aca="false">1/(1/$D$4-A13*0.0000001)</f>
        <v>830.150122496925</v>
      </c>
      <c r="C13" s="10" t="n">
        <f aca="false">10000000*(1/$D$4-1/(B13+$D$3))-A13</f>
        <v>-13.699099894859</v>
      </c>
      <c r="D13" s="10" t="n">
        <f aca="false">10000000*(1/$D$5-1/B13)-A13</f>
        <v>-7.16049958627116</v>
      </c>
      <c r="E13" s="10" t="n">
        <f aca="false">10000000*(1/$D$5-1/(B13+$D$3))-A13</f>
        <v>-20.8595994811299</v>
      </c>
    </row>
    <row r="14" customFormat="false" ht="15" hidden="false" customHeight="false" outlineLevel="0" collapsed="false">
      <c r="A14" s="0" t="n">
        <v>800</v>
      </c>
      <c r="B14" s="10" t="n">
        <f aca="false">1/(1/$D$4-A14*0.0000001)</f>
        <v>837.099303389433</v>
      </c>
      <c r="C14" s="10" t="n">
        <f aca="false">10000000*(1/$D$4-1/(B14+$D$3))-A14</f>
        <v>-13.4724705882725</v>
      </c>
      <c r="D14" s="10" t="n">
        <f aca="false">10000000*(1/$D$5-1/B14)-A14</f>
        <v>-7.16049958627082</v>
      </c>
      <c r="E14" s="10" t="n">
        <f aca="false">10000000*(1/$D$5-1/(B14+$D$3))-A14</f>
        <v>-20.6329701745433</v>
      </c>
    </row>
    <row r="15" customFormat="false" ht="15" hidden="false" customHeight="false" outlineLevel="0" collapsed="false">
      <c r="A15" s="0" t="n">
        <v>900</v>
      </c>
      <c r="B15" s="10" t="n">
        <f aca="false">1/(1/$D$4-A15*0.0000001)</f>
        <v>844.165809500211</v>
      </c>
      <c r="C15" s="10" t="n">
        <f aca="false">10000000*(1/$D$4-1/(B15+$D$3))-A15</f>
        <v>-13.2477336698635</v>
      </c>
      <c r="D15" s="10" t="n">
        <f aca="false">10000000*(1/$D$5-1/B15)-A15</f>
        <v>-7.16049958627059</v>
      </c>
      <c r="E15" s="10" t="n">
        <f aca="false">10000000*(1/$D$5-1/(B15+$D$3))-A15</f>
        <v>-20.4082332561343</v>
      </c>
    </row>
    <row r="16" customFormat="false" ht="15" hidden="false" customHeight="false" outlineLevel="0" collapsed="false">
      <c r="A16" s="0" t="n">
        <v>1000</v>
      </c>
      <c r="B16" s="10" t="n">
        <f aca="false">1/(1/$D$4-A16*0.0000001)</f>
        <v>851.352637383279</v>
      </c>
      <c r="C16" s="10" t="n">
        <f aca="false">10000000*(1/$D$4-1/(B16+$D$3))-A16</f>
        <v>-13.0248890860356</v>
      </c>
      <c r="D16" s="10" t="n">
        <f aca="false">10000000*(1/$D$5-1/B16)-A16</f>
        <v>-7.16049958627036</v>
      </c>
      <c r="E16" s="10" t="n">
        <f aca="false">10000000*(1/$D$5-1/(B16+$D$3))-A16</f>
        <v>-20.1853886723064</v>
      </c>
    </row>
    <row r="17" customFormat="false" ht="15" hidden="false" customHeight="false" outlineLevel="0" collapsed="false">
      <c r="A17" s="0" t="n">
        <v>1100</v>
      </c>
      <c r="B17" s="10" t="n">
        <f aca="false">1/(1/$D$4-A17*0.0000001)</f>
        <v>858.662886513846</v>
      </c>
      <c r="C17" s="10" t="n">
        <f aca="false">10000000*(1/$D$4-1/(B17+$D$3))-A17</f>
        <v>-12.8039367831946</v>
      </c>
      <c r="D17" s="10" t="n">
        <f aca="false">10000000*(1/$D$5-1/B17)-A17</f>
        <v>-7.16049958627013</v>
      </c>
      <c r="E17" s="10" t="n">
        <f aca="false">10000000*(1/$D$5-1/(B17+$D$3))-A17</f>
        <v>-19.9644363694654</v>
      </c>
    </row>
    <row r="18" customFormat="false" ht="15" hidden="false" customHeight="false" outlineLevel="0" collapsed="false">
      <c r="A18" s="0" t="n">
        <v>1200</v>
      </c>
      <c r="B18" s="10" t="n">
        <f aca="false">1/(1/$D$4-A18*0.0000001)</f>
        <v>866.099763745311</v>
      </c>
      <c r="C18" s="10" t="n">
        <f aca="false">10000000*(1/$D$4-1/(B18+$D$3))-A18</f>
        <v>-12.5848767077505</v>
      </c>
      <c r="D18" s="10" t="n">
        <f aca="false">10000000*(1/$D$5-1/B18)-A18</f>
        <v>-7.16049958626968</v>
      </c>
      <c r="E18" s="10" t="n">
        <f aca="false">10000000*(1/$D$5-1/(B18+$D$3))-A18</f>
        <v>-19.7453762940213</v>
      </c>
    </row>
    <row r="19" customFormat="false" ht="15" hidden="false" customHeight="false" outlineLevel="0" collapsed="false">
      <c r="A19" s="0" t="n">
        <v>1300</v>
      </c>
      <c r="B19" s="10" t="n">
        <f aca="false">1/(1/$D$4-A19*0.0000001)</f>
        <v>873.6665879999</v>
      </c>
      <c r="C19" s="10" t="n">
        <f aca="false">10000000*(1/$D$4-1/(B19+$D$3))-A19</f>
        <v>-12.3677088061177</v>
      </c>
      <c r="D19" s="10" t="n">
        <f aca="false">10000000*(1/$D$5-1/B19)-A19</f>
        <v>-7.16049958627173</v>
      </c>
      <c r="E19" s="10" t="n">
        <f aca="false">10000000*(1/$D$5-1/(B19+$D$3))-A19</f>
        <v>-19.5282083923885</v>
      </c>
    </row>
    <row r="20" customFormat="false" ht="15" hidden="false" customHeight="false" outlineLevel="0" collapsed="false">
      <c r="A20" s="0" t="n">
        <v>1400</v>
      </c>
      <c r="B20" s="10" t="n">
        <f aca="false">1/(1/$D$4-A20*0.0000001)</f>
        <v>881.366795207352</v>
      </c>
      <c r="C20" s="10" t="n">
        <f aca="false">10000000*(1/$D$4-1/(B20+$D$3))-A20</f>
        <v>-12.1524330247041</v>
      </c>
      <c r="D20" s="10" t="n">
        <f aca="false">10000000*(1/$D$5-1/B20)-A20</f>
        <v>-7.1604995862715</v>
      </c>
      <c r="E20" s="10" t="n">
        <f aca="false">10000000*(1/$D$5-1/(B20+$D$3))-A20</f>
        <v>-19.3129326109749</v>
      </c>
    </row>
    <row r="21" customFormat="false" ht="15" hidden="false" customHeight="false" outlineLevel="0" collapsed="false">
      <c r="A21" s="0" t="n">
        <v>1500</v>
      </c>
      <c r="B21" s="10" t="n">
        <f aca="false">1/(1/$D$4-A21*0.0000001)</f>
        <v>889.203943507098</v>
      </c>
      <c r="C21" s="10" t="n">
        <f aca="false">10000000*(1/$D$4-1/(B21+$D$3))-A21</f>
        <v>-11.9390493099263</v>
      </c>
      <c r="D21" s="10" t="n">
        <f aca="false">10000000*(1/$D$5-1/B21)-A21</f>
        <v>-7.16049958627127</v>
      </c>
      <c r="E21" s="10" t="n">
        <f aca="false">10000000*(1/$D$5-1/(B21+$D$3))-A21</f>
        <v>-19.0995488961969</v>
      </c>
    </row>
    <row r="22" customFormat="false" ht="15" hidden="false" customHeight="false" outlineLevel="0" collapsed="false">
      <c r="A22" s="0" t="n">
        <v>1600</v>
      </c>
      <c r="B22" s="10" t="n">
        <f aca="false">1/(1/$D$4-A22*0.0000001)</f>
        <v>897.181718730474</v>
      </c>
      <c r="C22" s="10" t="n">
        <f aca="false">10000000*(1/$D$4-1/(B22+$D$3))-A22</f>
        <v>-11.7275576082029</v>
      </c>
      <c r="D22" s="10" t="n">
        <f aca="false">10000000*(1/$D$5-1/B22)-A22</f>
        <v>-7.16049958627082</v>
      </c>
      <c r="E22" s="10" t="n">
        <f aca="false">10000000*(1/$D$5-1/(B22+$D$3))-A22</f>
        <v>-18.8880571944735</v>
      </c>
    </row>
    <row r="23" customFormat="false" ht="15" hidden="false" customHeight="false" outlineLevel="0" collapsed="false">
      <c r="A23" s="0" t="n">
        <v>1700</v>
      </c>
      <c r="B23" s="10" t="n">
        <f aca="false">1/(1/$D$4-A23*0.0000001)</f>
        <v>905.303940180722</v>
      </c>
      <c r="C23" s="10" t="n">
        <f aca="false">10000000*(1/$D$4-1/(B23+$D$3))-A23</f>
        <v>-11.5179578659504</v>
      </c>
      <c r="D23" s="10" t="n">
        <f aca="false">10000000*(1/$D$5-1/B23)-A23</f>
        <v>-7.16049958627059</v>
      </c>
      <c r="E23" s="10" t="n">
        <f aca="false">10000000*(1/$D$5-1/(B23+$D$3))-A23</f>
        <v>-18.6784574522212</v>
      </c>
    </row>
    <row r="24" customFormat="false" ht="15" hidden="false" customHeight="false" outlineLevel="0" collapsed="false">
      <c r="A24" s="0" t="n">
        <v>1800</v>
      </c>
      <c r="B24" s="10" t="n">
        <f aca="false">1/(1/$D$4-A24*0.0000001)</f>
        <v>913.574566729816</v>
      </c>
      <c r="C24" s="10" t="n">
        <f aca="false">10000000*(1/$D$4-1/(B24+$D$3))-A24</f>
        <v>-11.3102500295922</v>
      </c>
      <c r="D24" s="10" t="n">
        <f aca="false">10000000*(1/$D$5-1/B24)-A24</f>
        <v>-7.16049958627036</v>
      </c>
      <c r="E24" s="10" t="n">
        <f aca="false">10000000*(1/$D$5-1/(B24+$D$3))-A24</f>
        <v>-18.470749615863</v>
      </c>
    </row>
    <row r="25" customFormat="false" ht="15" hidden="false" customHeight="false" outlineLevel="0" collapsed="false">
      <c r="A25" s="0" t="n">
        <v>1900</v>
      </c>
      <c r="B25" s="10" t="n">
        <f aca="false">1/(1/$D$4-A25*0.0000001)</f>
        <v>921.997703252565</v>
      </c>
      <c r="C25" s="10" t="n">
        <f aca="false">10000000*(1/$D$4-1/(B25+$D$3))-A25</f>
        <v>-11.104434045551</v>
      </c>
      <c r="D25" s="10" t="n">
        <f aca="false">10000000*(1/$D$5-1/B25)-A25</f>
        <v>-7.16049958627013</v>
      </c>
      <c r="E25" s="10" t="n">
        <f aca="false">10000000*(1/$D$5-1/(B25+$D$3))-A25</f>
        <v>-18.2649336318218</v>
      </c>
    </row>
    <row r="26" customFormat="false" ht="15" hidden="false" customHeight="false" outlineLevel="0" collapsed="false">
      <c r="A26" s="0" t="n">
        <v>2000</v>
      </c>
      <c r="B26" s="10" t="n">
        <f aca="false">1/(1/$D$4-A26*0.0000001)</f>
        <v>930.577607419959</v>
      </c>
      <c r="C26" s="10" t="n">
        <f aca="false">10000000*(1/$D$4-1/(B26+$D$3))-A26</f>
        <v>-10.9005098602545</v>
      </c>
      <c r="D26" s="10" t="n">
        <f aca="false">10000000*(1/$D$5-1/B26)-A26</f>
        <v>-7.16049958627195</v>
      </c>
      <c r="E26" s="10" t="n">
        <f aca="false">10000000*(1/$D$5-1/(B26+$D$3))-A26</f>
        <v>-18.0610094465253</v>
      </c>
    </row>
    <row r="27" customFormat="false" ht="15" hidden="false" customHeight="false" outlineLevel="0" collapsed="false">
      <c r="A27" s="0" t="n">
        <v>2100</v>
      </c>
      <c r="B27" s="10" t="n">
        <f aca="false">1/(1/$D$4-A27*0.0000001)</f>
        <v>939.31869687539</v>
      </c>
      <c r="C27" s="10" t="n">
        <f aca="false">10000000*(1/$D$4-1/(B27+$D$3))-A27</f>
        <v>-10.6984774201237</v>
      </c>
      <c r="D27" s="10" t="n">
        <f aca="false">10000000*(1/$D$5-1/B27)-A27</f>
        <v>-7.16049958627173</v>
      </c>
      <c r="E27" s="10" t="n">
        <f aca="false">10000000*(1/$D$5-1/(B27+$D$3))-A27</f>
        <v>-17.8589770063941</v>
      </c>
    </row>
    <row r="28" customFormat="false" ht="15" hidden="false" customHeight="false" outlineLevel="0" collapsed="false">
      <c r="A28" s="0" t="n">
        <v>2200</v>
      </c>
      <c r="B28" s="10" t="n">
        <f aca="false">1/(1/$D$4-A28*0.0000001)</f>
        <v>948.225556819143</v>
      </c>
      <c r="C28" s="10" t="n">
        <f aca="false">10000000*(1/$D$4-1/(B28+$D$3))-A28</f>
        <v>-10.4983366715919</v>
      </c>
      <c r="D28" s="10" t="n">
        <f aca="false">10000000*(1/$D$5-1/B28)-A28</f>
        <v>-7.16049958627173</v>
      </c>
      <c r="E28" s="10" t="n">
        <f aca="false">10000000*(1/$D$5-1/(B28+$D$3))-A28</f>
        <v>-17.6588362578627</v>
      </c>
    </row>
    <row r="29" customFormat="false" ht="15" hidden="false" customHeight="false" outlineLevel="0" collapsed="false">
      <c r="A29" s="0" t="n">
        <v>2300</v>
      </c>
      <c r="B29" s="10" t="n">
        <f aca="false">1/(1/$D$4-A29*0.0000001)</f>
        <v>957.302948028533</v>
      </c>
      <c r="C29" s="10" t="n">
        <f aca="false">10000000*(1/$D$4-1/(B29+$D$3))-A29</f>
        <v>-10.300087561091</v>
      </c>
      <c r="D29" s="10" t="n">
        <f aca="false">10000000*(1/$D$5-1/B29)-A29</f>
        <v>-7.16049958627127</v>
      </c>
      <c r="E29" s="10" t="n">
        <f aca="false">10000000*(1/$D$5-1/(B29+$D$3))-A29</f>
        <v>-17.4605871473618</v>
      </c>
    </row>
    <row r="30" customFormat="false" ht="15" hidden="false" customHeight="false" outlineLevel="0" collapsed="false">
      <c r="A30" s="0" t="n">
        <v>2400</v>
      </c>
      <c r="B30" s="10" t="n">
        <f aca="false">1/(1/$D$4-A30*0.0000001)</f>
        <v>966.555815343154</v>
      </c>
      <c r="C30" s="10" t="n">
        <f aca="false">10000000*(1/$D$4-1/(B30+$D$3))-A30</f>
        <v>-10.1037300350513</v>
      </c>
      <c r="D30" s="10" t="n">
        <f aca="false">10000000*(1/$D$5-1/B30)-A30</f>
        <v>-7.16049958627082</v>
      </c>
      <c r="E30" s="10" t="n">
        <f aca="false">10000000*(1/$D$5-1/(B30+$D$3))-A30</f>
        <v>-17.2642296213221</v>
      </c>
    </row>
    <row r="31" customFormat="false" ht="15" hidden="false" customHeight="false" outlineLevel="0" collapsed="false">
      <c r="A31" s="0" t="n">
        <v>2500</v>
      </c>
      <c r="B31" s="10" t="n">
        <f aca="false">1/(1/$D$4-A31*0.0000001)</f>
        <v>975.989296647023</v>
      </c>
      <c r="C31" s="10" t="n">
        <f aca="false">10000000*(1/$D$4-1/(B31+$D$3))-A31</f>
        <v>-9.90926403991034</v>
      </c>
      <c r="D31" s="10" t="n">
        <f aca="false">10000000*(1/$D$5-1/B31)-A31</f>
        <v>-7.16049958627082</v>
      </c>
      <c r="E31" s="10" t="n">
        <f aca="false">10000000*(1/$D$5-1/(B31+$D$3))-A31</f>
        <v>-17.0697636261812</v>
      </c>
    </row>
    <row r="32" customFormat="false" ht="15" hidden="false" customHeight="false" outlineLevel="0" collapsed="false">
      <c r="A32" s="0" t="n">
        <v>2600</v>
      </c>
      <c r="B32" s="10" t="n">
        <f aca="false">1/(1/$D$4-A32*0.0000001)</f>
        <v>985.608732381889</v>
      </c>
      <c r="C32" s="10" t="n">
        <f aca="false">10000000*(1/$D$4-1/(B32+$D$3))-A32</f>
        <v>-9.71668952210666</v>
      </c>
      <c r="D32" s="10" t="n">
        <f aca="false">10000000*(1/$D$5-1/B32)-A32</f>
        <v>-7.16049958627036</v>
      </c>
      <c r="E32" s="10" t="n">
        <f aca="false">10000000*(1/$D$5-1/(B32+$D$3))-A32</f>
        <v>-16.8771891083775</v>
      </c>
    </row>
    <row r="33" customFormat="false" ht="15" hidden="false" customHeight="false" outlineLevel="0" collapsed="false">
      <c r="A33" s="0" t="n">
        <v>2700</v>
      </c>
      <c r="B33" s="10" t="n">
        <f aca="false">1/(1/$D$4-A33*0.0000001)</f>
        <v>995.419675628733</v>
      </c>
      <c r="C33" s="10" t="n">
        <f aca="false">10000000*(1/$D$4-1/(B33+$D$3))-A33</f>
        <v>-9.52600642807829</v>
      </c>
      <c r="D33" s="10" t="n">
        <f aca="false">10000000*(1/$D$5-1/B33)-A33</f>
        <v>-7.16049958627036</v>
      </c>
      <c r="E33" s="10" t="n">
        <f aca="false">10000000*(1/$D$5-1/(B33+$D$3))-A33</f>
        <v>-16.6865060143491</v>
      </c>
    </row>
    <row r="34" customFormat="false" ht="15" hidden="false" customHeight="false" outlineLevel="0" collapsed="false">
      <c r="A34" s="0" t="n">
        <v>2800</v>
      </c>
      <c r="B34" s="10" t="n">
        <f aca="false">1/(1/$D$4-A34*0.0000001)</f>
        <v>1005.42790279744</v>
      </c>
      <c r="C34" s="10" t="n">
        <f aca="false">10000000*(1/$D$4-1/(B34+$D$3))-A34</f>
        <v>-9.33721470426326</v>
      </c>
      <c r="D34" s="10" t="n">
        <f aca="false">10000000*(1/$D$5-1/B34)-A34</f>
        <v>-7.16049958626991</v>
      </c>
      <c r="E34" s="10" t="n">
        <f aca="false">10000000*(1/$D$5-1/(B34+$D$3))-A34</f>
        <v>-16.4977142905341</v>
      </c>
    </row>
    <row r="35" customFormat="false" ht="15" hidden="false" customHeight="false" outlineLevel="0" collapsed="false">
      <c r="A35" s="0" t="n">
        <v>2900</v>
      </c>
      <c r="B35" s="10" t="n">
        <f aca="false">1/(1/$D$4-A35*0.0000001)</f>
        <v>1015.63942496788</v>
      </c>
      <c r="C35" s="10" t="n">
        <f aca="false">10000000*(1/$D$4-1/(B35+$D$3))-A35</f>
        <v>-9.15031429711144</v>
      </c>
      <c r="D35" s="10" t="n">
        <f aca="false">10000000*(1/$D$5-1/B35)-A35</f>
        <v>-7.16049958626945</v>
      </c>
      <c r="E35" s="10" t="n">
        <f aca="false">10000000*(1/$D$5-1/(B35+$D$3))-A35</f>
        <v>-16.3108138833823</v>
      </c>
    </row>
    <row r="36" customFormat="false" ht="15" hidden="false" customHeight="false" outlineLevel="0" collapsed="false">
      <c r="A36" s="0" t="n">
        <v>3000</v>
      </c>
      <c r="B36" s="10" t="n">
        <f aca="false">1/(1/$D$4-A36*0.0000001)</f>
        <v>1026.06049992918</v>
      </c>
      <c r="C36" s="10" t="n">
        <f aca="false">10000000*(1/$D$4-1/(B36+$D$3))-A36</f>
        <v>-8.96530515306677</v>
      </c>
      <c r="D36" s="10" t="n">
        <f aca="false">10000000*(1/$D$5-1/B36)-A36</f>
        <v>-7.16049958627173</v>
      </c>
      <c r="E36" s="10" t="n">
        <f aca="false">10000000*(1/$D$5-1/(B36+$D$3))-A36</f>
        <v>-16.1258047393376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734375" defaultRowHeight="15" customHeight="false" zeroHeight="false" outlineLevelRow="0" outlineLevelCol="0"/>
  <cols>
    <col collapsed="false" customWidth="true" hidden="false" outlineLevel="0" max="1" min="1" style="0" width="11.83"/>
    <col collapsed="false" customWidth="true" hidden="false" outlineLevel="0" max="2" min="2" style="0" width="10.01"/>
    <col collapsed="false" customWidth="true" hidden="false" outlineLevel="0" max="3" min="3" style="0" width="12.74"/>
    <col collapsed="false" customWidth="true" hidden="false" outlineLevel="0" max="4" min="4" style="0" width="10.01"/>
    <col collapsed="false" customWidth="true" hidden="false" outlineLevel="0" max="5" min="5" style="0" width="11.83"/>
    <col collapsed="false" customWidth="true" hidden="false" outlineLevel="0" max="7" min="7" style="0" width="27.3"/>
    <col collapsed="false" customWidth="true" hidden="false" outlineLevel="0" max="8" min="8" style="0" width="14.56"/>
    <col collapsed="false" customWidth="true" hidden="false" outlineLevel="0" max="14" min="11" style="0" width="9.1"/>
  </cols>
  <sheetData>
    <row r="1" customFormat="false" ht="17.45" hidden="false" customHeight="false" outlineLevel="0" collapsed="false">
      <c r="A1" s="12" t="s">
        <v>47</v>
      </c>
    </row>
    <row r="2" customFormat="false" ht="30" hidden="false" customHeight="true" outlineLevel="0" collapsed="false">
      <c r="A2" s="13" t="s">
        <v>48</v>
      </c>
      <c r="B2" s="13"/>
      <c r="C2" s="13"/>
      <c r="D2" s="13"/>
      <c r="E2" s="13"/>
      <c r="F2" s="13"/>
      <c r="G2" s="13"/>
      <c r="H2" s="13"/>
    </row>
    <row r="4" customFormat="false" ht="15" hidden="false" customHeight="false" outlineLevel="0" collapsed="false">
      <c r="A4" s="14" t="s">
        <v>49</v>
      </c>
      <c r="B4" s="14" t="s">
        <v>50</v>
      </c>
      <c r="C4" s="14" t="s">
        <v>51</v>
      </c>
      <c r="D4" s="14" t="s">
        <v>52</v>
      </c>
      <c r="E4" s="14" t="s">
        <v>53</v>
      </c>
      <c r="G4" s="15" t="s">
        <v>54</v>
      </c>
      <c r="K4" s="14" t="s">
        <v>55</v>
      </c>
      <c r="L4" s="14" t="s">
        <v>56</v>
      </c>
      <c r="M4" s="14" t="s">
        <v>57</v>
      </c>
      <c r="N4" s="14" t="s">
        <v>50</v>
      </c>
    </row>
    <row r="5" customFormat="false" ht="15" hidden="false" customHeight="false" outlineLevel="0" collapsed="false">
      <c r="A5" s="16" t="n">
        <v>459.255</v>
      </c>
      <c r="B5" s="16" t="n">
        <v>238.39</v>
      </c>
      <c r="C5" s="17" t="n">
        <f aca="false">A5^2</f>
        <v>210915.155025</v>
      </c>
      <c r="D5" s="17" t="n">
        <f aca="false">B5-MIN($B$5:$B$25)</f>
        <v>67.42</v>
      </c>
      <c r="E5" s="17" t="n">
        <f aca="false">IF(D5&gt;MAX($D$5:$D$25)/2,D5,0)</f>
        <v>0</v>
      </c>
      <c r="G5" s="18" t="s">
        <v>58</v>
      </c>
      <c r="H5" s="19" t="n">
        <f aca="false">MATCH(MAX(B5:B25),B5:B25,0)+4</f>
        <v>15</v>
      </c>
      <c r="K5" s="19" t="n">
        <f aca="false">$H$5-2+0</f>
        <v>13</v>
      </c>
      <c r="L5" s="20" t="n">
        <f aca="false">INDEX($A:$A,K5)</f>
        <v>489.872</v>
      </c>
      <c r="M5" s="17" t="n">
        <f aca="false">L5^2</f>
        <v>239974.576384</v>
      </c>
      <c r="N5" s="21" t="n">
        <f aca="false">INDEX($B:$B,K5)</f>
        <v>229.13</v>
      </c>
    </row>
    <row r="6" customFormat="false" ht="15" hidden="false" customHeight="false" outlineLevel="0" collapsed="false">
      <c r="A6" s="16" t="n">
        <v>463.093</v>
      </c>
      <c r="B6" s="16" t="n">
        <v>238.59</v>
      </c>
      <c r="C6" s="17" t="n">
        <f aca="false">A6^2</f>
        <v>214455.126649</v>
      </c>
      <c r="D6" s="17" t="n">
        <f aca="false">B6-MIN($B$5:$B$25)</f>
        <v>67.62</v>
      </c>
      <c r="E6" s="17" t="n">
        <f aca="false">IF(D6&gt;MAX($D$5:$D$25)/2,D6,0)</f>
        <v>0</v>
      </c>
      <c r="G6" s="18" t="s">
        <v>59</v>
      </c>
      <c r="K6" s="19" t="n">
        <f aca="false">$H$5-2+1</f>
        <v>14</v>
      </c>
      <c r="L6" s="20" t="n">
        <f aca="false">INDEX($A:$A,K6)</f>
        <v>493.686</v>
      </c>
      <c r="M6" s="17" t="n">
        <f aca="false">L6^2</f>
        <v>243725.866596</v>
      </c>
      <c r="N6" s="21" t="n">
        <f aca="false">INDEX($B:$B,K6)</f>
        <v>282.47</v>
      </c>
    </row>
    <row r="7" customFormat="false" ht="15" hidden="false" customHeight="false" outlineLevel="0" collapsed="false">
      <c r="A7" s="16" t="n">
        <v>466.928</v>
      </c>
      <c r="B7" s="16" t="n">
        <v>240</v>
      </c>
      <c r="C7" s="17" t="n">
        <f aca="false">A7^2</f>
        <v>218021.757184</v>
      </c>
      <c r="D7" s="17" t="n">
        <f aca="false">B7-MIN($B$5:$B$25)</f>
        <v>69.03</v>
      </c>
      <c r="E7" s="17" t="n">
        <f aca="false">IF(D7&gt;MAX($D$5:$D$25)/2,D7,0)</f>
        <v>0</v>
      </c>
      <c r="G7" s="18" t="s">
        <v>60</v>
      </c>
      <c r="H7" s="22" t="n">
        <f aca="false">INDEX(LINEST(N5:N9,L5:M9),1,1)</f>
        <v>-1.68356244540563</v>
      </c>
      <c r="K7" s="19" t="n">
        <f aca="false">$H$5-2+2</f>
        <v>15</v>
      </c>
      <c r="L7" s="20" t="n">
        <f aca="false">INDEX($A:$A,K7)</f>
        <v>497.496</v>
      </c>
      <c r="M7" s="17" t="n">
        <f aca="false">L7^2</f>
        <v>247502.270016</v>
      </c>
      <c r="N7" s="21" t="n">
        <f aca="false">INDEX($B:$B,K7)</f>
        <v>355.92</v>
      </c>
    </row>
    <row r="8" customFormat="false" ht="15" hidden="false" customHeight="false" outlineLevel="0" collapsed="false">
      <c r="A8" s="16" t="n">
        <v>470.759</v>
      </c>
      <c r="B8" s="16" t="n">
        <v>233.16</v>
      </c>
      <c r="C8" s="17" t="n">
        <f aca="false">A8^2</f>
        <v>221614.036081</v>
      </c>
      <c r="D8" s="17" t="n">
        <f aca="false">B8-MIN($B$5:$B$25)</f>
        <v>62.19</v>
      </c>
      <c r="E8" s="17" t="n">
        <f aca="false">IF(D8&gt;MAX($D$5:$D$25)/2,D8,0)</f>
        <v>0</v>
      </c>
      <c r="G8" s="18" t="s">
        <v>61</v>
      </c>
      <c r="H8" s="23" t="n">
        <f aca="false">INDEX(LINEST(N5:N9,L5:M9),1,2)</f>
        <v>1678.97146406019</v>
      </c>
      <c r="K8" s="19" t="n">
        <f aca="false">$H$5-2+3</f>
        <v>16</v>
      </c>
      <c r="L8" s="20" t="n">
        <f aca="false">INDEX($A:$A,K8)</f>
        <v>501.304</v>
      </c>
      <c r="M8" s="17" t="n">
        <f aca="false">L8^2</f>
        <v>251305.700416</v>
      </c>
      <c r="N8" s="21" t="n">
        <f aca="false">INDEX($B:$B,K8)</f>
        <v>346.87</v>
      </c>
    </row>
    <row r="9" customFormat="false" ht="15" hidden="false" customHeight="false" outlineLevel="0" collapsed="false">
      <c r="A9" s="16" t="n">
        <v>474.588</v>
      </c>
      <c r="B9" s="16" t="n">
        <v>227.93</v>
      </c>
      <c r="C9" s="17" t="n">
        <f aca="false">A9^2</f>
        <v>225233.769744</v>
      </c>
      <c r="D9" s="17" t="n">
        <f aca="false">B9-MIN($B$5:$B$25)</f>
        <v>56.96</v>
      </c>
      <c r="E9" s="17" t="n">
        <f aca="false">IF(D9&gt;MAX($D$5:$D$25)/2,D9,0)</f>
        <v>0</v>
      </c>
      <c r="G9" s="15" t="s">
        <v>62</v>
      </c>
      <c r="H9" s="24" t="n">
        <f aca="false">-H8/(2*H7)</f>
        <v>498.636527751625</v>
      </c>
      <c r="K9" s="19" t="n">
        <f aca="false">$H$5-2+4</f>
        <v>17</v>
      </c>
      <c r="L9" s="20" t="n">
        <f aca="false">INDEX($A:$A,K9)</f>
        <v>505.108</v>
      </c>
      <c r="M9" s="17" t="n">
        <f aca="false">L9^2</f>
        <v>255134.091664</v>
      </c>
      <c r="N9" s="21" t="n">
        <f aca="false">INDEX($B:$B,K9)</f>
        <v>270.39</v>
      </c>
    </row>
    <row r="10" customFormat="false" ht="25.3" hidden="false" customHeight="true" outlineLevel="0" collapsed="false">
      <c r="A10" s="16" t="n">
        <v>478.414</v>
      </c>
      <c r="B10" s="16" t="n">
        <v>218.07</v>
      </c>
      <c r="C10" s="17" t="n">
        <f aca="false">A10^2</f>
        <v>228879.955396</v>
      </c>
      <c r="D10" s="17" t="n">
        <f aca="false">B10-MIN($B$5:$B$25)</f>
        <v>47.1</v>
      </c>
      <c r="E10" s="17" t="n">
        <f aca="false">IF(D10&gt;MAX($D$5:$D$25)/2,D10,0)</f>
        <v>0</v>
      </c>
      <c r="G10" s="13" t="s">
        <v>63</v>
      </c>
      <c r="H10" s="13"/>
      <c r="K10" s="13" t="s">
        <v>64</v>
      </c>
      <c r="L10" s="13"/>
      <c r="M10" s="13"/>
      <c r="N10" s="13"/>
    </row>
    <row r="11" customFormat="false" ht="15" hidden="false" customHeight="false" outlineLevel="0" collapsed="false">
      <c r="A11" s="16" t="n">
        <v>482.236</v>
      </c>
      <c r="B11" s="16" t="n">
        <v>211.02</v>
      </c>
      <c r="C11" s="17" t="n">
        <f aca="false">A11^2</f>
        <v>232551.559696</v>
      </c>
      <c r="D11" s="17" t="n">
        <f aca="false">B11-MIN($B$5:$B$25)</f>
        <v>40.05</v>
      </c>
      <c r="E11" s="17" t="n">
        <f aca="false">IF(D11&gt;MAX($D$5:$D$25)/2,D11,0)</f>
        <v>0</v>
      </c>
      <c r="K11" s="13"/>
      <c r="L11" s="13"/>
      <c r="M11" s="13"/>
      <c r="N11" s="13"/>
    </row>
    <row r="12" customFormat="false" ht="15" hidden="false" customHeight="false" outlineLevel="0" collapsed="false">
      <c r="A12" s="16" t="n">
        <v>486.056</v>
      </c>
      <c r="B12" s="16" t="n">
        <v>216.86</v>
      </c>
      <c r="C12" s="17" t="n">
        <f aca="false">A12^2</f>
        <v>236250.435136</v>
      </c>
      <c r="D12" s="17" t="n">
        <f aca="false">B12-MIN($B$5:$B$25)</f>
        <v>45.89</v>
      </c>
      <c r="E12" s="17" t="n">
        <f aca="false">IF(D12&gt;MAX($D$5:$D$25)/2,D12,0)</f>
        <v>0</v>
      </c>
      <c r="G12" s="15" t="s">
        <v>65</v>
      </c>
    </row>
    <row r="13" customFormat="false" ht="15" hidden="false" customHeight="false" outlineLevel="0" collapsed="false">
      <c r="A13" s="16" t="n">
        <v>489.872</v>
      </c>
      <c r="B13" s="16" t="n">
        <v>229.13</v>
      </c>
      <c r="C13" s="17" t="n">
        <f aca="false">A13^2</f>
        <v>239974.576384</v>
      </c>
      <c r="D13" s="17" t="n">
        <f aca="false">B13-MIN($B$5:$B$25)</f>
        <v>58.16</v>
      </c>
      <c r="E13" s="17" t="n">
        <f aca="false">IF(D13&gt;MAX($D$5:$D$25)/2,D13,0)</f>
        <v>0</v>
      </c>
      <c r="G13" s="18" t="s">
        <v>66</v>
      </c>
      <c r="H13" s="25" t="n">
        <f aca="false">SUMPRODUCT(A5:A25,E5:E25)/SUM(E5:E25)</f>
        <v>499.248098291271</v>
      </c>
    </row>
    <row r="14" customFormat="false" ht="15" hidden="false" customHeight="false" outlineLevel="0" collapsed="false">
      <c r="A14" s="16" t="n">
        <v>493.686</v>
      </c>
      <c r="B14" s="16" t="n">
        <v>282.47</v>
      </c>
      <c r="C14" s="17" t="n">
        <f aca="false">A14^2</f>
        <v>243725.866596</v>
      </c>
      <c r="D14" s="17" t="n">
        <f aca="false">B14-MIN($B$5:$B$25)</f>
        <v>111.5</v>
      </c>
      <c r="E14" s="17" t="n">
        <f aca="false">IF(D14&gt;MAX($D$5:$D$25)/2,D14,0)</f>
        <v>111.5</v>
      </c>
    </row>
    <row r="15" customFormat="false" ht="15" hidden="false" customHeight="false" outlineLevel="0" collapsed="false">
      <c r="A15" s="16" t="n">
        <v>497.496</v>
      </c>
      <c r="B15" s="16" t="n">
        <v>355.92</v>
      </c>
      <c r="C15" s="17" t="n">
        <f aca="false">A15^2</f>
        <v>247502.270016</v>
      </c>
      <c r="D15" s="17" t="n">
        <f aca="false">B15-MIN($B$5:$B$25)</f>
        <v>184.95</v>
      </c>
      <c r="E15" s="17" t="n">
        <f aca="false">IF(D15&gt;MAX($D$5:$D$25)/2,D15,0)</f>
        <v>184.95</v>
      </c>
      <c r="G15" s="15" t="s">
        <v>67</v>
      </c>
    </row>
    <row r="16" customFormat="false" ht="15" hidden="false" customHeight="false" outlineLevel="0" collapsed="false">
      <c r="A16" s="16" t="n">
        <v>501.304</v>
      </c>
      <c r="B16" s="16" t="n">
        <v>346.87</v>
      </c>
      <c r="C16" s="17" t="n">
        <f aca="false">A16^2</f>
        <v>251305.700416</v>
      </c>
      <c r="D16" s="17" t="n">
        <f aca="false">B16-MIN($B$5:$B$25)</f>
        <v>175.9</v>
      </c>
      <c r="E16" s="17" t="n">
        <f aca="false">IF(D16&gt;MAX($D$5:$D$25)/2,D16,0)</f>
        <v>175.9</v>
      </c>
      <c r="G16" s="18" t="s">
        <v>68</v>
      </c>
      <c r="H16" s="21" t="n">
        <v>498.64</v>
      </c>
    </row>
    <row r="17" customFormat="false" ht="15" hidden="false" customHeight="false" outlineLevel="0" collapsed="false">
      <c r="A17" s="16" t="n">
        <v>505.108</v>
      </c>
      <c r="B17" s="16" t="n">
        <v>270.39</v>
      </c>
      <c r="C17" s="17" t="n">
        <f aca="false">A17^2</f>
        <v>255134.091664</v>
      </c>
      <c r="D17" s="17" t="n">
        <f aca="false">B17-MIN($B$5:$B$25)</f>
        <v>99.42</v>
      </c>
      <c r="E17" s="17" t="n">
        <f aca="false">IF(D17&gt;MAX($D$5:$D$25)/2,D17,0)</f>
        <v>99.42</v>
      </c>
      <c r="G17" s="18" t="s">
        <v>69</v>
      </c>
      <c r="H17" s="21" t="n">
        <v>499.24</v>
      </c>
    </row>
    <row r="18" customFormat="false" ht="15" hidden="false" customHeight="false" outlineLevel="0" collapsed="false">
      <c r="A18" s="16" t="n">
        <v>508.909</v>
      </c>
      <c r="B18" s="16" t="n">
        <v>201.36</v>
      </c>
      <c r="C18" s="17" t="n">
        <f aca="false">A18^2</f>
        <v>258988.370281</v>
      </c>
      <c r="D18" s="17" t="n">
        <f aca="false">B18-MIN($B$5:$B$25)</f>
        <v>30.39</v>
      </c>
      <c r="E18" s="17" t="n">
        <f aca="false">IF(D18&gt;MAX($D$5:$D$25)/2,D18,0)</f>
        <v>0</v>
      </c>
      <c r="G18" s="18" t="s">
        <v>70</v>
      </c>
      <c r="H18" s="21" t="n">
        <f aca="false">ABS(H9-H13)</f>
        <v>0.611570539646493</v>
      </c>
    </row>
    <row r="19" customFormat="false" ht="15" hidden="false" customHeight="false" outlineLevel="0" collapsed="false">
      <c r="A19" s="16" t="n">
        <v>512.708</v>
      </c>
      <c r="B19" s="16" t="n">
        <v>185.66</v>
      </c>
      <c r="C19" s="17" t="n">
        <f aca="false">A19^2</f>
        <v>262869.493264</v>
      </c>
      <c r="D19" s="17" t="n">
        <f aca="false">B19-MIN($B$5:$B$25)</f>
        <v>14.69</v>
      </c>
      <c r="E19" s="17" t="n">
        <f aca="false">IF(D19&gt;MAX($D$5:$D$25)/2,D19,0)</f>
        <v>0</v>
      </c>
    </row>
    <row r="20" customFormat="false" ht="15" hidden="false" customHeight="false" outlineLevel="0" collapsed="false">
      <c r="A20" s="16" t="n">
        <v>516.503</v>
      </c>
      <c r="B20" s="16" t="n">
        <v>179.63</v>
      </c>
      <c r="C20" s="17" t="n">
        <f aca="false">A20^2</f>
        <v>266775.349009</v>
      </c>
      <c r="D20" s="17" t="n">
        <f aca="false">B20-MIN($B$5:$B$25)</f>
        <v>8.66</v>
      </c>
      <c r="E20" s="17" t="n">
        <f aca="false">IF(D20&gt;MAX($D$5:$D$25)/2,D20,0)</f>
        <v>0</v>
      </c>
      <c r="G20" s="15" t="s">
        <v>71</v>
      </c>
    </row>
    <row r="21" customFormat="false" ht="15" hidden="false" customHeight="false" outlineLevel="0" collapsed="false">
      <c r="A21" s="16" t="n">
        <v>520.295</v>
      </c>
      <c r="B21" s="16" t="n">
        <v>180.23</v>
      </c>
      <c r="C21" s="17" t="n">
        <f aca="false">A21^2</f>
        <v>270706.887025</v>
      </c>
      <c r="D21" s="17" t="n">
        <f aca="false">B21-MIN($B$5:$B$25)</f>
        <v>9.25999999999999</v>
      </c>
      <c r="E21" s="17" t="n">
        <f aca="false">IF(D21&gt;MAX($D$5:$D$25)/2,D21,0)</f>
        <v>0</v>
      </c>
      <c r="G21" s="18" t="s">
        <v>72</v>
      </c>
      <c r="H21" s="20" t="n">
        <f aca="false">H9-H16</f>
        <v>-0.00347224837548765</v>
      </c>
    </row>
    <row r="22" customFormat="false" ht="15" hidden="false" customHeight="false" outlineLevel="0" collapsed="false">
      <c r="A22" s="16" t="n">
        <v>524.085</v>
      </c>
      <c r="B22" s="16" t="n">
        <v>171.37</v>
      </c>
      <c r="C22" s="17" t="n">
        <f aca="false">A22^2</f>
        <v>274665.087225</v>
      </c>
      <c r="D22" s="17" t="n">
        <f aca="false">B22-MIN($B$5:$B$25)</f>
        <v>0.400000000000006</v>
      </c>
      <c r="E22" s="17" t="n">
        <f aca="false">IF(D22&gt;MAX($D$5:$D$25)/2,D22,0)</f>
        <v>0</v>
      </c>
      <c r="G22" s="18" t="s">
        <v>73</v>
      </c>
      <c r="H22" s="20" t="n">
        <f aca="false">H13-H17</f>
        <v>0.00809829127098283</v>
      </c>
    </row>
    <row r="23" customFormat="false" ht="15" hidden="false" customHeight="false" outlineLevel="0" collapsed="false">
      <c r="A23" s="16" t="n">
        <v>527.871</v>
      </c>
      <c r="B23" s="16" t="n">
        <v>171.98</v>
      </c>
      <c r="C23" s="17" t="n">
        <f aca="false">A23^2</f>
        <v>278647.792641</v>
      </c>
      <c r="D23" s="17" t="n">
        <f aca="false">B23-MIN($B$5:$B$25)</f>
        <v>1.00999999999999</v>
      </c>
      <c r="E23" s="17" t="n">
        <f aca="false">IF(D23&gt;MAX($D$5:$D$25)/2,D23,0)</f>
        <v>0</v>
      </c>
    </row>
    <row r="24" customFormat="false" ht="15" hidden="false" customHeight="true" outlineLevel="0" collapsed="false">
      <c r="A24" s="16" t="n">
        <v>531.654</v>
      </c>
      <c r="B24" s="16" t="n">
        <v>173.99</v>
      </c>
      <c r="C24" s="17" t="n">
        <f aca="false">A24^2</f>
        <v>282655.975716</v>
      </c>
      <c r="D24" s="17" t="n">
        <f aca="false">B24-MIN($B$5:$B$25)</f>
        <v>3.02000000000001</v>
      </c>
      <c r="E24" s="17" t="n">
        <f aca="false">IF(D24&gt;MAX($D$5:$D$25)/2,D24,0)</f>
        <v>0</v>
      </c>
      <c r="G24" s="26" t="s">
        <v>74</v>
      </c>
      <c r="H24" s="26"/>
      <c r="I24" s="26"/>
      <c r="J24" s="26"/>
    </row>
    <row r="25" customFormat="false" ht="15" hidden="false" customHeight="false" outlineLevel="0" collapsed="false">
      <c r="A25" s="16" t="n">
        <v>535.435</v>
      </c>
      <c r="B25" s="16" t="n">
        <v>170.97</v>
      </c>
      <c r="C25" s="17" t="n">
        <f aca="false">A25^2</f>
        <v>286690.639225</v>
      </c>
      <c r="D25" s="17" t="n">
        <f aca="false">B25-MIN($B$5:$B$25)</f>
        <v>0</v>
      </c>
      <c r="E25" s="17" t="n">
        <f aca="false">IF(D25&gt;MAX($D$5:$D$25)/2,D25,0)</f>
        <v>0</v>
      </c>
      <c r="G25" s="26"/>
      <c r="H25" s="26"/>
      <c r="I25" s="26"/>
      <c r="J25" s="26"/>
    </row>
    <row r="26" customFormat="false" ht="15" hidden="false" customHeight="false" outlineLevel="0" collapsed="false">
      <c r="G26" s="26"/>
      <c r="H26" s="26"/>
      <c r="I26" s="26"/>
      <c r="J26" s="26"/>
    </row>
    <row r="28" customFormat="false" ht="15" hidden="false" customHeight="true" outlineLevel="0" collapsed="false">
      <c r="G28" s="13" t="s">
        <v>75</v>
      </c>
      <c r="H28" s="13"/>
      <c r="I28" s="13"/>
      <c r="J28" s="13"/>
    </row>
    <row r="29" customFormat="false" ht="15" hidden="false" customHeight="false" outlineLevel="0" collapsed="false">
      <c r="G29" s="13"/>
      <c r="H29" s="13"/>
      <c r="I29" s="13"/>
      <c r="J29" s="13"/>
    </row>
    <row r="30" customFormat="false" ht="15" hidden="false" customHeight="false" outlineLevel="0" collapsed="false">
      <c r="G30" s="13"/>
      <c r="H30" s="13"/>
      <c r="I30" s="13"/>
      <c r="J30" s="13"/>
    </row>
  </sheetData>
  <mergeCells count="5">
    <mergeCell ref="A2:H2"/>
    <mergeCell ref="G10:H10"/>
    <mergeCell ref="K10:N11"/>
    <mergeCell ref="G24:J26"/>
    <mergeCell ref="G28:J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734375" defaultRowHeight="15" customHeight="false" zeroHeight="false" outlineLevelRow="0" outlineLevelCol="0"/>
  <cols>
    <col collapsed="false" customWidth="true" hidden="false" outlineLevel="0" max="1" min="1" style="0" width="10.01"/>
    <col collapsed="false" customWidth="true" hidden="false" outlineLevel="0" max="2" min="2" style="0" width="41.85"/>
    <col collapsed="false" customWidth="true" hidden="false" outlineLevel="0" max="3" min="3" style="0" width="9.1"/>
    <col collapsed="false" customWidth="true" hidden="false" outlineLevel="0" max="4" min="4" style="0" width="16.38"/>
    <col collapsed="false" customWidth="true" hidden="false" outlineLevel="0" max="5" min="5" style="0" width="9.1"/>
  </cols>
  <sheetData>
    <row r="1" customFormat="false" ht="17.45" hidden="false" customHeight="false" outlineLevel="0" collapsed="false">
      <c r="A1" s="12" t="s">
        <v>76</v>
      </c>
    </row>
    <row r="2" customFormat="false" ht="30" hidden="false" customHeight="true" outlineLevel="0" collapsed="false">
      <c r="A2" s="13" t="s">
        <v>77</v>
      </c>
      <c r="B2" s="13"/>
      <c r="C2" s="13"/>
      <c r="D2" s="13"/>
      <c r="E2" s="13"/>
      <c r="F2" s="13"/>
      <c r="G2" s="13"/>
      <c r="H2" s="13"/>
      <c r="I2" s="13"/>
    </row>
    <row r="4" customFormat="false" ht="15" hidden="false" customHeight="false" outlineLevel="0" collapsed="false">
      <c r="A4" s="14" t="s">
        <v>78</v>
      </c>
      <c r="B4" s="14" t="s">
        <v>79</v>
      </c>
      <c r="C4" s="14" t="s">
        <v>80</v>
      </c>
      <c r="D4" s="14" t="s">
        <v>81</v>
      </c>
      <c r="E4" s="14" t="s">
        <v>80</v>
      </c>
    </row>
    <row r="5" customFormat="false" ht="15" hidden="false" customHeight="false" outlineLevel="0" collapsed="false">
      <c r="A5" s="16" t="n">
        <v>100</v>
      </c>
      <c r="B5" s="27" t="n">
        <v>498.5</v>
      </c>
      <c r="C5" s="27" t="n">
        <v>0.59</v>
      </c>
      <c r="D5" s="27" t="n">
        <v>520.2</v>
      </c>
      <c r="E5" s="27"/>
    </row>
    <row r="6" customFormat="false" ht="15" hidden="false" customHeight="false" outlineLevel="0" collapsed="false">
      <c r="A6" s="16" t="n">
        <v>200</v>
      </c>
      <c r="B6" s="27" t="n">
        <v>498.18</v>
      </c>
      <c r="C6" s="27" t="n">
        <v>0.06</v>
      </c>
      <c r="D6" s="27" t="n">
        <v>519.6</v>
      </c>
      <c r="E6" s="27" t="n">
        <v>0.3</v>
      </c>
    </row>
    <row r="7" customFormat="false" ht="15" hidden="false" customHeight="false" outlineLevel="0" collapsed="false">
      <c r="A7" s="16" t="n">
        <v>300</v>
      </c>
      <c r="B7" s="27"/>
      <c r="C7" s="27"/>
      <c r="D7" s="27" t="n">
        <v>518.9</v>
      </c>
      <c r="E7" s="27" t="n">
        <v>0.3</v>
      </c>
    </row>
    <row r="8" customFormat="false" ht="15" hidden="false" customHeight="false" outlineLevel="0" collapsed="false">
      <c r="A8" s="16" t="n">
        <v>400</v>
      </c>
      <c r="B8" s="27" t="n">
        <v>498.03</v>
      </c>
      <c r="C8" s="27" t="n">
        <v>0.05</v>
      </c>
      <c r="D8" s="27" t="n">
        <v>519</v>
      </c>
      <c r="E8" s="27" t="n">
        <v>0.3</v>
      </c>
    </row>
    <row r="10" customFormat="false" ht="15" hidden="false" customHeight="false" outlineLevel="0" collapsed="false">
      <c r="A10" s="15" t="s">
        <v>82</v>
      </c>
      <c r="B10" s="28" t="n">
        <f aca="false">SLOPE(B5:B8,A5:A8)*100</f>
        <v>-0.14500000000001</v>
      </c>
      <c r="D10" s="28" t="n">
        <f aca="false">SLOPE(D5:D8,A5:A8)*100</f>
        <v>-0.430000000000018</v>
      </c>
    </row>
    <row r="11" customFormat="false" ht="15" hidden="false" customHeight="false" outlineLevel="0" collapsed="false">
      <c r="A11" s="18" t="s">
        <v>83</v>
      </c>
      <c r="B11" s="21" t="n">
        <f aca="false">INTERCEPT(B5:B8,A5:A8)</f>
        <v>498.575</v>
      </c>
      <c r="D11" s="21" t="n">
        <f aca="false">INTERCEPT(D5:D8,A5:A8)</f>
        <v>520.5</v>
      </c>
    </row>
    <row r="12" customFormat="false" ht="15" hidden="false" customHeight="true" outlineLevel="0" collapsed="false">
      <c r="A12" s="13" t="s">
        <v>84</v>
      </c>
      <c r="B12" s="13"/>
      <c r="C12" s="13"/>
      <c r="D12" s="13"/>
      <c r="E12" s="13"/>
    </row>
    <row r="14" customFormat="false" ht="15" hidden="false" customHeight="false" outlineLevel="0" collapsed="false">
      <c r="A14" s="29" t="s">
        <v>85</v>
      </c>
    </row>
    <row r="15" customFormat="false" ht="15" hidden="false" customHeight="false" outlineLevel="0" collapsed="false">
      <c r="A15" s="18" t="s">
        <v>86</v>
      </c>
      <c r="B15" s="16" t="n">
        <v>520.7</v>
      </c>
    </row>
    <row r="16" customFormat="false" ht="15" hidden="false" customHeight="false" outlineLevel="0" collapsed="false">
      <c r="A16" s="18" t="s">
        <v>87</v>
      </c>
      <c r="B16" s="27" t="n">
        <v>498.7</v>
      </c>
    </row>
    <row r="17" customFormat="false" ht="15" hidden="false" customHeight="false" outlineLevel="0" collapsed="false">
      <c r="A17" s="18" t="s">
        <v>88</v>
      </c>
      <c r="B17" s="30" t="n">
        <v>100</v>
      </c>
    </row>
    <row r="18" customFormat="false" ht="15" hidden="false" customHeight="false" outlineLevel="0" collapsed="false">
      <c r="A18" s="18" t="s">
        <v>89</v>
      </c>
      <c r="B18" s="27" t="n">
        <v>498.69</v>
      </c>
    </row>
    <row r="19" customFormat="false" ht="15" hidden="false" customHeight="false" outlineLevel="0" collapsed="false">
      <c r="A19" s="18" t="s">
        <v>90</v>
      </c>
      <c r="B19" s="28" t="n">
        <f aca="false">B16-B18</f>
        <v>0.00999999999999091</v>
      </c>
    </row>
    <row r="20" customFormat="false" ht="15" hidden="false" customHeight="false" outlineLevel="0" collapsed="false">
      <c r="A20" s="18" t="s">
        <v>91</v>
      </c>
      <c r="B20" s="31" t="str">
        <f aca="false">IF(B16="","",IF(ABS(B19)&lt;=1,"通過：軸沒有明顯變化",IF(ABS(B19)&lt;=3,"注意：偏了 1–3 cm⁻¹，先檢查功率與對焦是否與上次相同","不通過：偏 &gt;3 cm⁻¹，重新做完整校正")))</f>
        <v>通過：軸沒有明顯變化</v>
      </c>
    </row>
    <row r="22" customFormat="false" ht="15" hidden="false" customHeight="true" outlineLevel="0" collapsed="false">
      <c r="A22" s="26" t="s">
        <v>92</v>
      </c>
      <c r="B22" s="26"/>
      <c r="C22" s="26"/>
      <c r="D22" s="26"/>
      <c r="E22" s="26"/>
    </row>
    <row r="23" customFormat="false" ht="15" hidden="false" customHeight="false" outlineLevel="0" collapsed="false">
      <c r="A23" s="26"/>
      <c r="B23" s="26"/>
      <c r="C23" s="26"/>
      <c r="D23" s="26"/>
      <c r="E23" s="26"/>
    </row>
    <row r="24" customFormat="false" ht="15" hidden="false" customHeight="false" outlineLevel="0" collapsed="false">
      <c r="A24" s="26"/>
      <c r="B24" s="26"/>
      <c r="C24" s="26"/>
      <c r="D24" s="26"/>
      <c r="E24" s="26"/>
    </row>
  </sheetData>
  <mergeCells count="3">
    <mergeCell ref="A2:I2"/>
    <mergeCell ref="A12:E12"/>
    <mergeCell ref="A22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2026-09-03T16:45:49Z</dcterms:created>
  <dc:creator>openpyxl</dc:creator>
  <dc:description/>
  <dc:language>zh-TW</dc:language>
  <cp:lastModifiedBy/>
  <dcterms:modified xsi:type="dcterms:W3CDTF">2026-09-10T08:42:09Z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