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t_pai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<sst xmlns="http://schemas.openxmlformats.org/spreadsheetml/2006/main" count="11" uniqueCount="11">
  <si>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r>
      <rPr>
        <sz val="11"/>
        <color theme="1"/>
        <rFont val="Calibri"/>
        <family val="2"/>
        <charset val="1"/>
      </rPr>
      <t xml:space="preserve">NIST </t>
    </r>
    <r>
      <rPr>
        <sz val="11"/>
        <color theme="1"/>
        <rFont val="Noto Sans TC"/>
        <family val="2"/>
        <charset val="136"/>
      </rPr>
      <t xml:space="preserve">波長 </t>
    </r>
    <r>
      <rPr>
        <sz val="11"/>
        <color theme="1"/>
        <rFont val="Calibri"/>
        <family val="2"/>
        <charset val="1"/>
      </rPr>
      <t xml:space="preserve">(nm)</t>
    </r>
  </si>
  <si>
    <r>
      <rPr>
        <sz val="11"/>
        <color theme="1"/>
        <rFont val="Noto Sans TC"/>
        <family val="2"/>
        <charset val="136"/>
      </rPr>
      <t xml:space="preserve">量到的峰位 </t>
    </r>
    <r>
      <rPr>
        <sz val="11"/>
        <color theme="1"/>
        <rFont val="Calibri"/>
        <family val="2"/>
        <charset val="1"/>
      </rPr>
      <t xml:space="preserve">(nm)</t>
    </r>
  </si>
  <si>
    <t xml:space="preserve">斜率 A</t>
  </si>
  <si>
    <t xml:space="preserve">截距 B (nm)</t>
  </si>
  <si>
    <t xml:space="preserve">SE_A</t>
  </si>
  <si>
    <t xml:space="preserve">t = (A−1)/SE_A</t>
  </si>
  <si>
    <t xml:space="preserve">殘差標準誤 (pm)</t>
  </si>
  <si>
    <t xml:space="preserve">n</t>
  </si>
  <si>
    <t xml:space="preserve">說明</t>
  </si>
  <si>
    <t xml:space="preserve">把你們 A 站的兩欄數字貼到 A2:B13（NIST 在左、量到的在右）。線數不是 12 條時，把 E 欄公式裡的 13 改成最後一列的列號。</t>
  </si>
  <si>
    <t xml:space="preserve">LINEST 第 1 列 = {A, B}，第 2 列 = 標準誤，第 3 列第 2 欄 = 殘差標準誤。Python 的 polyfit(cov=True) 與 R 的 lm() 給的是同一組數。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</si>
</sst>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0000"/>
    <numFmt numFmtId="166" formatCode="0.00000"/>
    <numFmt numFmtId="167" formatCode="0.000E+00"/>
    <numFmt numFmtId="168" formatCode="0.00"/>
    <numFmt numFmtId="169" formatCode="0.0"/>
    <numFmt numFmtId="170" formatCode="0"/>
  </numFmts>
  <fonts count="8">
    <font>
      <sz val="11"/>
      <color theme="1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theme="1"/>
      <name val="Calibri"/>
      <family val="2"/>
      <charset val="1"/>
    </font>
    <font>
      <sz val="11"/>
      <color rgb="FF0000FF"/>
      <name val="Microsoft JhengHei"/>
      <family val="0"/>
      <charset val="1"/>
    </font>
    <font>
      <b val="true"/>
      <sz val="11"/>
      <name val="Microsoft JhengHei"/>
      <family val="0"/>
      <charset val="1"/>
    </font>
    <font>
      <sz val="9"/>
      <name val="Microsoft JhengHe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16.38"/>
    <col collapsed="false" customWidth="true" hidden="false" outlineLevel="0" max="4" min="4" style="0" width="16.38"/>
    <col collapsed="false" customWidth="true" hidden="false" outlineLevel="0" max="5" min="5" style="0" width="14.56"/>
  </cols>
  <sheetData>
    <row r="1" customFormat="false" ht="15" hidden="false" customHeight="false" outlineLevel="0" collapsed="false">
      <c r="A1" s="1" t="s">
        <v>0</v>
      </c>
      <c r="B1" s="0" t="s">
        <v>1</v>
      </c>
    </row>
    <row r="2" customFormat="false" ht="15.65" hidden="false" customHeight="false" outlineLevel="0" collapsed="false">
      <c r="A2" s="2" t="n">
        <v>794.8176</v>
      </c>
      <c r="B2" s="2" t="n">
        <v>793.6963</v>
      </c>
      <c r="D2" s="3" t="s">
        <v>2</v>
      </c>
      <c r="E2" s="4" t="n">
        <f aca="false">INDEX(LINEST($A$2:$A$13,$B$2:$B$13,TRUE(),TRUE()),1,1)</f>
        <v>0.999277894232464</v>
      </c>
    </row>
    <row r="3" customFormat="false" ht="15.65" hidden="false" customHeight="false" outlineLevel="0" collapsed="false">
      <c r="A3" s="2" t="n">
        <v>801.4786</v>
      </c>
      <c r="B3" s="2" t="n">
        <v>800.364</v>
      </c>
      <c r="D3" s="3" t="s">
        <v>3</v>
      </c>
      <c r="E3" s="5" t="n">
        <f aca="false">INDEX(LINEST($A$2:$A$13,$B$2:$B$13,TRUE(),TRUE()),1,2)</f>
        <v>1.56218618501805</v>
      </c>
    </row>
    <row r="4" customFormat="false" ht="15" hidden="false" customHeight="false" outlineLevel="0" collapsed="false">
      <c r="A4" s="2" t="n">
        <v>810.3693</v>
      </c>
      <c r="B4" s="2" t="n">
        <v>809.7459</v>
      </c>
      <c r="D4" s="3" t="s">
        <v>4</v>
      </c>
      <c r="E4" s="6" t="n">
        <f aca="false">INDEX(LINEST($A$2:$A$13,$B$2:$B$13,TRUE(),TRUE()),2,1)</f>
        <v>0.00082386941900602</v>
      </c>
    </row>
    <row r="5" customFormat="false" ht="15" hidden="false" customHeight="false" outlineLevel="0" collapsed="false">
      <c r="A5" s="2" t="n">
        <v>811.5311</v>
      </c>
      <c r="B5" s="2" t="n">
        <v>810.4185</v>
      </c>
      <c r="D5" s="3" t="s">
        <v>5</v>
      </c>
      <c r="E5" s="7" t="n">
        <f aca="false">(E2-1)/E4</f>
        <v>-0.876480848636777</v>
      </c>
    </row>
    <row r="6" customFormat="false" ht="15.65" hidden="false" customHeight="false" outlineLevel="0" collapsed="false">
      <c r="A6" s="2" t="n">
        <v>826.4522</v>
      </c>
      <c r="B6" s="2" t="n">
        <v>825.5206</v>
      </c>
      <c r="D6" s="3" t="s">
        <v>6</v>
      </c>
      <c r="E6" s="8" t="n">
        <f aca="false">INDEX(LINEST($A$2:$A$13,$B$2:$B$13,TRUE(),TRUE()),3,2)*1000</f>
        <v>174.287809965063</v>
      </c>
    </row>
    <row r="7" customFormat="false" ht="15" hidden="false" customHeight="false" outlineLevel="0" collapsed="false">
      <c r="A7" s="2" t="n">
        <v>840.821</v>
      </c>
      <c r="B7" s="2" t="n">
        <v>839.7989</v>
      </c>
      <c r="D7" s="3" t="s">
        <v>7</v>
      </c>
      <c r="E7" s="9" t="n">
        <f aca="false">COUNT($A$2:$A$13)</f>
        <v>12</v>
      </c>
    </row>
    <row r="8" customFormat="false" ht="15" hidden="false" customHeight="false" outlineLevel="0" collapsed="false">
      <c r="A8" s="2" t="n">
        <v>842.4648</v>
      </c>
      <c r="B8" s="2" t="n">
        <v>841.4733</v>
      </c>
    </row>
    <row r="9" customFormat="false" ht="15" hidden="false" customHeight="false" outlineLevel="0" collapsed="false">
      <c r="A9" s="2" t="n">
        <v>852.1442</v>
      </c>
      <c r="B9" s="2" t="n">
        <v>851.2917</v>
      </c>
      <c r="D9" s="3" t="s">
        <v>8</v>
      </c>
    </row>
    <row r="10" customFormat="false" ht="15" hidden="false" customHeight="false" outlineLevel="0" collapsed="false">
      <c r="A10" s="2" t="n">
        <v>866.7944</v>
      </c>
      <c r="B10" s="2" t="n">
        <v>866.1071</v>
      </c>
      <c r="D10" s="10" t="s">
        <v>9</v>
      </c>
    </row>
    <row r="11" customFormat="false" ht="15" hidden="false" customHeight="false" outlineLevel="0" collapsed="false">
      <c r="A11" s="2" t="n">
        <v>912.2967</v>
      </c>
      <c r="B11" s="2" t="n">
        <v>911.2511</v>
      </c>
      <c r="D11" s="10" t="s">
        <v>10</v>
      </c>
    </row>
    <row r="12" customFormat="false" ht="15" hidden="false" customHeight="false" outlineLevel="0" collapsed="false">
      <c r="A12" s="2" t="n">
        <v>922.4499</v>
      </c>
      <c r="B12" s="2" t="n">
        <v>921.4002</v>
      </c>
    </row>
    <row r="13" customFormat="false" ht="15" hidden="false" customHeight="false" outlineLevel="0" collapsed="false">
      <c r="A13" s="2" t="n">
        <v>1013.975</v>
      </c>
      <c r="B13" s="2" t="n">
        <v>1013.2073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2026-09-10T06:46:08Z</dcterms:created>
  <dc:creator>openpyxl</dc:creator>
  <dc:description/>
  <dc:language>zh-TW</dc:language>
  <cp:lastModifiedBy/>
  <dcterms:modified xsi:type="dcterms:W3CDTF">2026-09-10T06:46:08Z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